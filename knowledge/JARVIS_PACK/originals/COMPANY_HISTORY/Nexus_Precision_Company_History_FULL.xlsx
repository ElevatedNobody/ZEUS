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mpany_Profile" sheetId="1" state="visible" r:id="rId1"/>
    <sheet xmlns:r="http://schemas.openxmlformats.org/officeDocument/2006/relationships" name="02_History_Timeline" sheetId="2" state="visible" r:id="rId2"/>
    <sheet xmlns:r="http://schemas.openxmlformats.org/officeDocument/2006/relationships" name="03_Annual_PL" sheetId="3" state="visible" r:id="rId3"/>
    <sheet xmlns:r="http://schemas.openxmlformats.org/officeDocument/2006/relationships" name="04_Deals_Register" sheetId="4" state="visible" r:id="rId4"/>
    <sheet xmlns:r="http://schemas.openxmlformats.org/officeDocument/2006/relationships" name="05_Daily_Trades" sheetId="5" state="visible" r:id="rId5"/>
    <sheet xmlns:r="http://schemas.openxmlformats.org/officeDocument/2006/relationships" name="06_Machinery_Assets" sheetId="6" state="visible" r:id="rId6"/>
    <sheet xmlns:r="http://schemas.openxmlformats.org/officeDocument/2006/relationships" name="07_Staff_Cost" sheetId="7" state="visible" r:id="rId7"/>
    <sheet xmlns:r="http://schemas.openxmlformats.org/officeDocument/2006/relationships" name="08_Leases" sheetId="8" state="visible" r:id="rId8"/>
    <sheet xmlns:r="http://schemas.openxmlformats.org/officeDocument/2006/relationships" name="09_Decision_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b val="1"/>
      <sz val="11"/>
    </font>
    <font>
      <name val="Calibri"/>
      <color rgb="000000FF"/>
      <sz val="11"/>
    </font>
    <font>
      <name val="Calibri"/>
      <b val="1"/>
      <color rgb="001565C0"/>
      <sz val="12"/>
    </font>
    <font>
      <name val="Calibri"/>
      <b val="1"/>
      <color rgb="00FFFFFF"/>
      <sz val="11"/>
    </font>
    <font>
      <name val="Calibri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2CC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wrapText="1"/>
    </xf>
    <xf numFmtId="0" fontId="6" fillId="0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0" fillId="0" borderId="1" pivotButton="0" quotePrefix="0" xfId="0"/>
    <xf numFmtId="164" fontId="3" fillId="5" borderId="1" pivotButton="0" quotePrefix="0" xfId="0"/>
    <xf numFmtId="0" fontId="2" fillId="0" borderId="0" pivotButton="0" quotePrefix="0" xfId="0"/>
    <xf numFmtId="164" fontId="2" fillId="0" borderId="1" pivotButton="0" quotePrefix="0" xfId="0"/>
    <xf numFmtId="0" fontId="6" fillId="0" borderId="0" pivotButton="0" quotePrefix="0" xfId="0"/>
    <xf numFmtId="164" fontId="2" fillId="6" borderId="1" pivotButton="0" quotePrefix="0" xfId="0"/>
    <xf numFmtId="164" fontId="6" fillId="0" borderId="1" pivotButton="0" quotePrefix="0" xfId="0"/>
    <xf numFmtId="164" fontId="2" fillId="3" borderId="1" pivotButton="0" quotePrefix="0" xfId="0"/>
    <xf numFmtId="165" fontId="6" fillId="0" borderId="1" pivotButton="0" quotePrefix="0" xfId="0"/>
    <xf numFmtId="0" fontId="0" fillId="6" borderId="1" pivotButton="0" quotePrefix="0" xfId="0"/>
    <xf numFmtId="0" fontId="3" fillId="5" borderId="1" pivotButton="0" quotePrefix="0" xfId="0"/>
    <xf numFmtId="9" fontId="3" fillId="5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6" fillId="0" borderId="0" pivotButton="0" quotePrefix="0" xfId="0"/>
    <xf numFmtId="165" fontId="0" fillId="0" borderId="0" pivotButton="0" quotePrefix="0" xfId="0"/>
    <xf numFmtId="3" fontId="3" fillId="5" borderId="1" pivotButton="0" quotePrefix="0" xfId="0"/>
    <xf numFmtId="0" fontId="0" fillId="8" borderId="1" pivotButton="0" quotePrefix="0" xfId="0"/>
    <xf numFmtId="3" fontId="2" fillId="0" borderId="0" pivotButton="0" quotePrefix="0" xfId="0"/>
    <xf numFmtId="3" fontId="0" fillId="0" borderId="0" pivotButton="0" quotePrefix="0" xfId="0"/>
    <xf numFmtId="166" fontId="3" fillId="5" borderId="1" pivotButton="0" quotePrefix="0" xfId="0"/>
    <xf numFmtId="166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3" fontId="6" fillId="0" borderId="1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(PAT) trend — INR Lakhs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'03_Annual_PL'!$B$3:$I$3</f>
            </numRef>
          </cat>
          <val>
            <numRef>
              <f>'03_Annual_PL'!$B$21:$I$21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Lakh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NEXUS PRECISION COMPONENTS PVT LTD — Company Profile (SAMPLE DATA)</t>
        </is>
      </c>
    </row>
    <row r="3">
      <c r="A3" s="2" t="inlineStr">
        <is>
          <t>Legal name</t>
        </is>
      </c>
      <c r="B3" s="3" t="inlineStr">
        <is>
          <t>Nexus Precision Components Private Limited</t>
        </is>
      </c>
    </row>
    <row r="4">
      <c r="A4" s="2" t="inlineStr">
        <is>
          <t>Trade name</t>
        </is>
      </c>
      <c r="B4" s="3" t="inlineStr">
        <is>
          <t>Nexus Precision</t>
        </is>
      </c>
    </row>
    <row r="5">
      <c r="A5" s="2" t="inlineStr">
        <is>
          <t>Incorporated</t>
        </is>
      </c>
      <c r="B5" s="3" t="inlineStr">
        <is>
          <t>14 March 2014</t>
        </is>
      </c>
    </row>
    <row r="6">
      <c r="A6" s="2" t="inlineStr">
        <is>
          <t>CIN (sample)</t>
        </is>
      </c>
      <c r="B6" s="3" t="inlineStr">
        <is>
          <t>U28990MH2014PTC000001</t>
        </is>
      </c>
    </row>
    <row r="7">
      <c r="A7" s="2" t="inlineStr">
        <is>
          <t>Registered office</t>
        </is>
      </c>
      <c r="B7" s="3" t="inlineStr">
        <is>
          <t>Plot 42, MIDC Chakan, Pune, Maharashtra 410501</t>
        </is>
      </c>
    </row>
    <row r="8">
      <c r="A8" s="2" t="inlineStr">
        <is>
          <t>Industry</t>
        </is>
      </c>
      <c r="B8" s="3" t="inlineStr">
        <is>
          <t>Precision auto &amp; industrial components (CNC, sheet metal, assemblies)</t>
        </is>
      </c>
    </row>
    <row r="9">
      <c r="A9" s="2" t="inlineStr">
        <is>
          <t>Employees (current)</t>
        </is>
      </c>
      <c r="B9" s="3" t="n">
        <v>186</v>
      </c>
    </row>
    <row r="10">
      <c r="A10" s="2" t="inlineStr">
        <is>
          <t>Factory floor area</t>
        </is>
      </c>
      <c r="B10" s="3" t="inlineStr">
        <is>
          <t>48,000 sq ft (owned) + 12,000 sq ft (leased warehouse)</t>
        </is>
      </c>
    </row>
    <row r="11">
      <c r="A11" s="2" t="inlineStr">
        <is>
          <t>Primary markets</t>
        </is>
      </c>
      <c r="B11" s="3" t="inlineStr">
        <is>
          <t>OEM auto, industrial machinery, export (UAE, Germany)</t>
        </is>
      </c>
    </row>
    <row r="12">
      <c r="A12" s="2" t="inlineStr">
        <is>
          <t>Financial year</t>
        </is>
      </c>
      <c r="B12" s="3" t="inlineStr">
        <is>
          <t>April – March</t>
        </is>
      </c>
    </row>
    <row r="13">
      <c r="A13" s="2" t="inlineStr">
        <is>
          <t>Currency</t>
        </is>
      </c>
      <c r="B13" s="3" t="inlineStr">
        <is>
          <t>INR (Lakhs unless noted)</t>
        </is>
      </c>
    </row>
    <row r="14">
      <c r="A14" s="2" t="inlineStr">
        <is>
          <t>Data purpose</t>
        </is>
      </c>
      <c r="B14" s="3" t="inlineStr">
        <is>
          <t>JARVIS decision support — fictional sample for local AI training/demo</t>
        </is>
      </c>
    </row>
    <row r="15">
      <c r="A15" s="2" t="inlineStr">
        <is>
          <t>Last updated</t>
        </is>
      </c>
      <c r="B15" s="3" t="inlineStr">
        <is>
          <t>2026-09-09</t>
        </is>
      </c>
    </row>
    <row r="17">
      <c r="A17" s="4" t="inlineStr">
        <is>
          <t>Strategic note for JARVIS</t>
        </is>
      </c>
    </row>
    <row r="18">
      <c r="A18" s="5" t="inlineStr">
        <is>
          <t>Company grew steadily 2014–2019, took a loss in FY21 (COVID demand shock), recovered FY22–FY25 on export + EV component orders. Current pressure: rising power &amp; wage costs, one large customer concentration (~28% revenue). Next-step focus: diversify customers, improve machine utilization, renegotiate warehouse lease.</t>
        </is>
      </c>
    </row>
    <row r="19"/>
    <row r="20"/>
  </sheetData>
  <mergeCells count="2">
    <mergeCell ref="A1:B1"/>
    <mergeCell ref="A18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0" customWidth="1" min="4" max="4"/>
    <col width="18" customWidth="1" min="5" max="5"/>
    <col width="28" customWidth="1" min="6" max="6"/>
  </cols>
  <sheetData>
    <row r="1">
      <c r="A1" s="1" t="inlineStr">
        <is>
          <t>Major Company History Events</t>
        </is>
      </c>
    </row>
    <row r="3">
      <c r="A3" s="6" t="inlineStr">
        <is>
          <t>Date</t>
        </is>
      </c>
      <c r="B3" s="6" t="inlineStr">
        <is>
          <t>Event Type</t>
        </is>
      </c>
      <c r="C3" s="6" t="inlineStr">
        <is>
          <t>Title</t>
        </is>
      </c>
      <c r="D3" s="6" t="inlineStr">
        <is>
          <t>Impact</t>
        </is>
      </c>
      <c r="E3" s="6" t="inlineStr">
        <is>
          <t>Approx Value (INR Lakh)</t>
        </is>
      </c>
      <c r="F3" s="6" t="inlineStr">
        <is>
          <t>Notes</t>
        </is>
      </c>
    </row>
    <row r="4">
      <c r="A4" s="3" t="inlineStr">
        <is>
          <t>2014-03</t>
        </is>
      </c>
      <c r="B4" s="7" t="inlineStr">
        <is>
          <t>Founding</t>
        </is>
      </c>
      <c r="C4" s="7" t="inlineStr">
        <is>
          <t>Company incorporated in Pune</t>
        </is>
      </c>
      <c r="D4" s="8" t="inlineStr">
        <is>
          <t>Positive</t>
        </is>
      </c>
      <c r="E4" s="3" t="n">
        <v>25</v>
      </c>
      <c r="F4" s="7" t="inlineStr">
        <is>
          <t>Promoter capital</t>
        </is>
      </c>
    </row>
    <row r="5">
      <c r="A5" s="3" t="inlineStr">
        <is>
          <t>2015-08</t>
        </is>
      </c>
      <c r="B5" s="7" t="inlineStr">
        <is>
          <t>Facility</t>
        </is>
      </c>
      <c r="C5" s="7" t="inlineStr">
        <is>
          <t>First CNC shop operational (6 machines)</t>
        </is>
      </c>
      <c r="D5" s="8" t="inlineStr">
        <is>
          <t>Positive</t>
        </is>
      </c>
      <c r="E5" s="3" t="n">
        <v>180</v>
      </c>
      <c r="F5" s="7" t="inlineStr">
        <is>
          <t>Term loan + equity</t>
        </is>
      </c>
    </row>
    <row r="6">
      <c r="A6" s="3" t="inlineStr">
        <is>
          <t>2016-11</t>
        </is>
      </c>
      <c r="B6" s="7" t="inlineStr">
        <is>
          <t>Deal-Small</t>
        </is>
      </c>
      <c r="C6" s="7" t="inlineStr">
        <is>
          <t>First Tier-2 auto order (brake brackets)</t>
        </is>
      </c>
      <c r="D6" s="8" t="inlineStr">
        <is>
          <t>Positive</t>
        </is>
      </c>
      <c r="E6" s="3" t="n">
        <v>42</v>
      </c>
      <c r="F6" s="7" t="inlineStr">
        <is>
          <t>12-month PO</t>
        </is>
      </c>
    </row>
    <row r="7">
      <c r="A7" s="3" t="inlineStr">
        <is>
          <t>2017-06</t>
        </is>
      </c>
      <c r="B7" s="7" t="inlineStr">
        <is>
          <t>Deal-Big</t>
        </is>
      </c>
      <c r="C7" s="7" t="inlineStr">
        <is>
          <t>3-year contract with Precision Tools Co</t>
        </is>
      </c>
      <c r="D7" s="8" t="inlineStr">
        <is>
          <t>Positive</t>
        </is>
      </c>
      <c r="E7" s="3" t="n">
        <v>860</v>
      </c>
      <c r="F7" s="7" t="inlineStr">
        <is>
          <t>Anchor OEM customer</t>
        </is>
      </c>
    </row>
    <row r="8">
      <c r="A8" s="3" t="inlineStr">
        <is>
          <t>2018-02</t>
        </is>
      </c>
      <c r="B8" s="7" t="inlineStr">
        <is>
          <t>Expansion</t>
        </is>
      </c>
      <c r="C8" s="7" t="inlineStr">
        <is>
          <t>Added sheet-metal line</t>
        </is>
      </c>
      <c r="D8" s="8" t="inlineStr">
        <is>
          <t>Positive</t>
        </is>
      </c>
      <c r="E8" s="3" t="n">
        <v>220</v>
      </c>
      <c r="F8" s="7" t="inlineStr">
        <is>
          <t>Capacity +35%</t>
        </is>
      </c>
    </row>
    <row r="9">
      <c r="A9" s="3" t="inlineStr">
        <is>
          <t>2019-09</t>
        </is>
      </c>
      <c r="B9" s="7" t="inlineStr">
        <is>
          <t>Deal-Big</t>
        </is>
      </c>
      <c r="C9" s="7" t="inlineStr">
        <is>
          <t>Export deal — UAE distributor (assemblies)</t>
        </is>
      </c>
      <c r="D9" s="8" t="inlineStr">
        <is>
          <t>Positive</t>
        </is>
      </c>
      <c r="E9" s="3" t="n">
        <v>510</v>
      </c>
      <c r="F9" s="7" t="inlineStr">
        <is>
          <t>FOB Nhava Sheva</t>
        </is>
      </c>
    </row>
    <row r="10">
      <c r="A10" s="3" t="inlineStr">
        <is>
          <t>2020-04</t>
        </is>
      </c>
      <c r="B10" s="7" t="inlineStr">
        <is>
          <t>Crisis</t>
        </is>
      </c>
      <c r="C10" s="7" t="inlineStr">
        <is>
          <t>COVID lockdown — production halt 7 weeks</t>
        </is>
      </c>
      <c r="D10" s="9" t="inlineStr">
        <is>
          <t>Negative</t>
        </is>
      </c>
      <c r="E10" s="3" t="n">
        <v>-95</v>
      </c>
      <c r="F10" s="7" t="inlineStr">
        <is>
          <t>Fixed costs continued</t>
        </is>
      </c>
    </row>
    <row r="11">
      <c r="A11" s="3" t="inlineStr">
        <is>
          <t>2021-03</t>
        </is>
      </c>
      <c r="B11" s="7" t="inlineStr">
        <is>
          <t>Loss Year</t>
        </is>
      </c>
      <c r="C11" s="7" t="inlineStr">
        <is>
          <t>FY21 net loss after demand drop</t>
        </is>
      </c>
      <c r="D11" s="9" t="inlineStr">
        <is>
          <t>Negative</t>
        </is>
      </c>
      <c r="E11" s="3" t="n">
        <v>-128</v>
      </c>
      <c r="F11" s="7" t="inlineStr">
        <is>
          <t>See P&amp;L sheet</t>
        </is>
      </c>
    </row>
    <row r="12">
      <c r="A12" s="3" t="inlineStr">
        <is>
          <t>2021-11</t>
        </is>
      </c>
      <c r="B12" s="7" t="inlineStr">
        <is>
          <t>Deal-Small</t>
        </is>
      </c>
      <c r="C12" s="7" t="inlineStr">
        <is>
          <t>Spare parts annual rate contract</t>
        </is>
      </c>
      <c r="D12" s="8" t="inlineStr">
        <is>
          <t>Positive</t>
        </is>
      </c>
      <c r="E12" s="3" t="n">
        <v>67</v>
      </c>
      <c r="F12" s="7" t="inlineStr">
        <is>
          <t>Maintenance segment</t>
        </is>
      </c>
    </row>
    <row r="13">
      <c r="A13" s="3" t="inlineStr">
        <is>
          <t>2022-05</t>
        </is>
      </c>
      <c r="B13" s="7" t="inlineStr">
        <is>
          <t>Recovery</t>
        </is>
      </c>
      <c r="C13" s="7" t="inlineStr">
        <is>
          <t>EV motor housing pilot order</t>
        </is>
      </c>
      <c r="D13" s="8" t="inlineStr">
        <is>
          <t>Positive</t>
        </is>
      </c>
      <c r="E13" s="3" t="n">
        <v>145</v>
      </c>
      <c r="F13" s="7" t="inlineStr">
        <is>
          <t>New segment</t>
        </is>
      </c>
    </row>
    <row r="14">
      <c r="A14" s="3" t="inlineStr">
        <is>
          <t>2022-12</t>
        </is>
      </c>
      <c r="B14" s="7" t="inlineStr">
        <is>
          <t>Deal-Big</t>
        </is>
      </c>
      <c r="C14" s="7" t="inlineStr">
        <is>
          <t>Germany OEM trial → serial supply</t>
        </is>
      </c>
      <c r="D14" s="8" t="inlineStr">
        <is>
          <t>Positive</t>
        </is>
      </c>
      <c r="E14" s="3" t="n">
        <v>720</v>
      </c>
      <c r="F14" s="7" t="inlineStr">
        <is>
          <t>Quality audit passed</t>
        </is>
      </c>
    </row>
    <row r="15">
      <c r="A15" s="3" t="inlineStr">
        <is>
          <t>2023-07</t>
        </is>
      </c>
      <c r="B15" s="7" t="inlineStr">
        <is>
          <t>Lease</t>
        </is>
      </c>
      <c r="C15" s="7" t="inlineStr">
        <is>
          <t>Warehouse lease signed (12,000 sq ft)</t>
        </is>
      </c>
      <c r="D15" s="10" t="inlineStr">
        <is>
          <t>Neutral</t>
        </is>
      </c>
      <c r="E15" s="3" t="n">
        <v>18</v>
      </c>
      <c r="F15" s="7" t="inlineStr">
        <is>
          <t>Per year — see Leases</t>
        </is>
      </c>
    </row>
    <row r="16">
      <c r="A16" s="3" t="inlineStr">
        <is>
          <t>2023-10</t>
        </is>
      </c>
      <c r="B16" s="7" t="inlineStr">
        <is>
          <t>Machinery</t>
        </is>
      </c>
      <c r="C16" s="7" t="inlineStr">
        <is>
          <t>Bought 2x CNC turning centers</t>
        </is>
      </c>
      <c r="D16" s="8" t="inlineStr">
        <is>
          <t>Positive</t>
        </is>
      </c>
      <c r="E16" s="3" t="n">
        <v>310</v>
      </c>
      <c r="F16" s="7" t="inlineStr">
        <is>
          <t>Debt-funded</t>
        </is>
      </c>
    </row>
    <row r="17">
      <c r="A17" s="3" t="inlineStr">
        <is>
          <t>2024-04</t>
        </is>
      </c>
      <c r="B17" s="7" t="inlineStr">
        <is>
          <t>Deal-Big</t>
        </is>
      </c>
      <c r="C17" s="7" t="inlineStr">
        <is>
          <t>Multi-year EV structural parts (5 yr)</t>
        </is>
      </c>
      <c r="D17" s="8" t="inlineStr">
        <is>
          <t>Positive</t>
        </is>
      </c>
      <c r="E17" s="3" t="n">
        <v>2400</v>
      </c>
      <c r="F17" s="7" t="inlineStr">
        <is>
          <t>Phased ramp</t>
        </is>
      </c>
    </row>
    <row r="18">
      <c r="A18" s="3" t="inlineStr">
        <is>
          <t>2024-09</t>
        </is>
      </c>
      <c r="B18" s="7" t="inlineStr">
        <is>
          <t>Deal-Small</t>
        </is>
      </c>
      <c r="C18" s="7" t="inlineStr">
        <is>
          <t>Local industrial fabrication job lots</t>
        </is>
      </c>
      <c r="D18" s="8" t="inlineStr">
        <is>
          <t>Positive</t>
        </is>
      </c>
      <c r="E18" s="3" t="n">
        <v>38</v>
      </c>
      <c r="F18" s="7" t="inlineStr">
        <is>
          <t>High margin</t>
        </is>
      </c>
    </row>
    <row r="19">
      <c r="A19" s="3" t="inlineStr">
        <is>
          <t>2025-01</t>
        </is>
      </c>
      <c r="B19" s="7" t="inlineStr">
        <is>
          <t>Staff</t>
        </is>
      </c>
      <c r="C19" s="7" t="inlineStr">
        <is>
          <t>Shift engineer hiring wave (+22)</t>
        </is>
      </c>
      <c r="D19" s="10" t="inlineStr">
        <is>
          <t>Neutral</t>
        </is>
      </c>
      <c r="E19" s="3" t="n">
        <v>55</v>
      </c>
      <c r="F19" s="7" t="inlineStr">
        <is>
          <t>Annual wage add</t>
        </is>
      </c>
    </row>
    <row r="20">
      <c r="A20" s="3" t="inlineStr">
        <is>
          <t>2025-06</t>
        </is>
      </c>
      <c r="B20" s="7" t="inlineStr">
        <is>
          <t>Deal-Big</t>
        </is>
      </c>
      <c r="C20" s="7" t="inlineStr">
        <is>
          <t>Lost one mid OEM bid (pricing)</t>
        </is>
      </c>
      <c r="D20" s="9" t="inlineStr">
        <is>
          <t>Negative</t>
        </is>
      </c>
      <c r="E20" s="3" t="n">
        <v>-180</v>
      </c>
      <c r="F20" s="7" t="inlineStr">
        <is>
          <t>Competitor undercut</t>
        </is>
      </c>
    </row>
    <row r="21">
      <c r="A21" s="3" t="inlineStr">
        <is>
          <t>2025-11</t>
        </is>
      </c>
      <c r="B21" s="7" t="inlineStr">
        <is>
          <t>Deal-Small</t>
        </is>
      </c>
      <c r="C21" s="7" t="inlineStr">
        <is>
          <t>Tooling &amp; fixture design service</t>
        </is>
      </c>
      <c r="D21" s="8" t="inlineStr">
        <is>
          <t>Positive</t>
        </is>
      </c>
      <c r="E21" s="3" t="n">
        <v>29</v>
      </c>
      <c r="F21" s="7" t="inlineStr">
        <is>
          <t>Services revenue</t>
        </is>
      </c>
    </row>
    <row r="22">
      <c r="A22" s="3" t="inlineStr">
        <is>
          <t>2026-02</t>
        </is>
      </c>
      <c r="B22" s="7" t="inlineStr">
        <is>
          <t>Machinery</t>
        </is>
      </c>
      <c r="C22" s="7" t="inlineStr">
        <is>
          <t>Preventive overhaul of press line</t>
        </is>
      </c>
      <c r="D22" s="10" t="inlineStr">
        <is>
          <t>Neutral</t>
        </is>
      </c>
      <c r="E22" s="3" t="n">
        <v>47</v>
      </c>
      <c r="F22" s="7" t="inlineStr">
        <is>
          <t>Avoided breakdown</t>
        </is>
      </c>
    </row>
    <row r="23">
      <c r="A23" s="3" t="inlineStr">
        <is>
          <t>2026-08</t>
        </is>
      </c>
      <c r="B23" s="7" t="inlineStr">
        <is>
          <t>Deal-Big</t>
        </is>
      </c>
      <c r="C23" s="7" t="inlineStr">
        <is>
          <t>Renewal of Precision Tools Co contract</t>
        </is>
      </c>
      <c r="D23" s="8" t="inlineStr">
        <is>
          <t>Positive</t>
        </is>
      </c>
      <c r="E23" s="3" t="n">
        <v>920</v>
      </c>
      <c r="F23" s="7" t="inlineStr">
        <is>
          <t>2 years, +7%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Profit &amp; Loss Summary (INR Lakhs) — Sample</t>
        </is>
      </c>
    </row>
    <row r="3">
      <c r="A3" s="6" t="inlineStr">
        <is>
          <t>Line Item</t>
        </is>
      </c>
      <c r="B3" s="6" t="inlineStr">
        <is>
          <t>FY19</t>
        </is>
      </c>
      <c r="C3" s="6" t="inlineStr">
        <is>
          <t>FY20</t>
        </is>
      </c>
      <c r="D3" s="6" t="inlineStr">
        <is>
          <t>FY21</t>
        </is>
      </c>
      <c r="E3" s="6" t="inlineStr">
        <is>
          <t>FY22</t>
        </is>
      </c>
      <c r="F3" s="6" t="inlineStr">
        <is>
          <t>FY23</t>
        </is>
      </c>
      <c r="G3" s="6" t="inlineStr">
        <is>
          <t>FY24</t>
        </is>
      </c>
      <c r="H3" s="6" t="inlineStr">
        <is>
          <t>FY25</t>
        </is>
      </c>
      <c r="I3" s="6" t="inlineStr">
        <is>
          <t>FY26 YTD</t>
        </is>
      </c>
    </row>
    <row r="4">
      <c r="A4" s="11" t="inlineStr">
        <is>
          <t>Revenue — Domestic</t>
        </is>
      </c>
      <c r="B4" s="12" t="n">
        <v>820</v>
      </c>
      <c r="C4" s="12" t="n">
        <v>780</v>
      </c>
      <c r="D4" s="12" t="n">
        <v>510</v>
      </c>
      <c r="E4" s="12" t="n">
        <v>640</v>
      </c>
      <c r="F4" s="12" t="n">
        <v>890</v>
      </c>
      <c r="G4" s="12" t="n">
        <v>1120</v>
      </c>
      <c r="H4" s="12" t="n">
        <v>1380</v>
      </c>
      <c r="I4" s="12" t="n">
        <v>920</v>
      </c>
    </row>
    <row r="5">
      <c r="A5" s="11" t="inlineStr">
        <is>
          <t>Revenue — Export</t>
        </is>
      </c>
      <c r="B5" s="12" t="n">
        <v>180</v>
      </c>
      <c r="C5" s="12" t="n">
        <v>210</v>
      </c>
      <c r="D5" s="12" t="n">
        <v>90</v>
      </c>
      <c r="E5" s="12" t="n">
        <v>260</v>
      </c>
      <c r="F5" s="12" t="n">
        <v>410</v>
      </c>
      <c r="G5" s="12" t="n">
        <v>580</v>
      </c>
      <c r="H5" s="12" t="n">
        <v>720</v>
      </c>
      <c r="I5" s="12" t="n">
        <v>510</v>
      </c>
    </row>
    <row r="6">
      <c r="A6" s="11" t="inlineStr">
        <is>
          <t>Other income</t>
        </is>
      </c>
      <c r="B6" s="12" t="n">
        <v>12</v>
      </c>
      <c r="C6" s="12" t="n">
        <v>15</v>
      </c>
      <c r="D6" s="12" t="n">
        <v>8</v>
      </c>
      <c r="E6" s="12" t="n">
        <v>18</v>
      </c>
      <c r="F6" s="12" t="n">
        <v>22</v>
      </c>
      <c r="G6" s="12" t="n">
        <v>25</v>
      </c>
      <c r="H6" s="12" t="n">
        <v>30</v>
      </c>
      <c r="I6" s="12" t="n">
        <v>18</v>
      </c>
    </row>
    <row r="7">
      <c r="A7" s="13" t="inlineStr">
        <is>
          <t>Total Revenue</t>
        </is>
      </c>
      <c r="B7" s="14">
        <f>B4+B5+B6</f>
        <v/>
      </c>
      <c r="C7" s="14">
        <f>C4+C5+C6</f>
        <v/>
      </c>
      <c r="D7" s="14">
        <f>D4+D5+D6</f>
        <v/>
      </c>
      <c r="E7" s="14">
        <f>E4+E5+E6</f>
        <v/>
      </c>
      <c r="F7" s="14">
        <f>F4+F5+F6</f>
        <v/>
      </c>
      <c r="G7" s="14">
        <f>G4+G5+G6</f>
        <v/>
      </c>
      <c r="H7" s="14">
        <f>H4+H5+H6</f>
        <v/>
      </c>
      <c r="I7" s="14">
        <f>I4+I5+I6</f>
        <v/>
      </c>
    </row>
    <row r="8">
      <c r="A8" s="15" t="inlineStr">
        <is>
          <t>COGS</t>
        </is>
      </c>
      <c r="B8" s="12" t="n">
        <v>620</v>
      </c>
      <c r="C8" s="12" t="n">
        <v>600</v>
      </c>
      <c r="D8" s="12" t="n">
        <v>430</v>
      </c>
      <c r="E8" s="12" t="n">
        <v>520</v>
      </c>
      <c r="F8" s="12" t="n">
        <v>680</v>
      </c>
      <c r="G8" s="12" t="n">
        <v>850</v>
      </c>
      <c r="H8" s="12" t="n">
        <v>1040</v>
      </c>
      <c r="I8" s="12" t="n">
        <v>700</v>
      </c>
    </row>
    <row r="9">
      <c r="A9" s="13" t="inlineStr">
        <is>
          <t>Gross Profit</t>
        </is>
      </c>
      <c r="B9" s="14">
        <f>B7-B8</f>
        <v/>
      </c>
      <c r="C9" s="14">
        <f>C7-C8</f>
        <v/>
      </c>
      <c r="D9" s="14">
        <f>D7-D8</f>
        <v/>
      </c>
      <c r="E9" s="14">
        <f>E7-E8</f>
        <v/>
      </c>
      <c r="F9" s="14">
        <f>F7-F8</f>
        <v/>
      </c>
      <c r="G9" s="14">
        <f>G7-G8</f>
        <v/>
      </c>
      <c r="H9" s="14">
        <f>H7-H8</f>
        <v/>
      </c>
      <c r="I9" s="14">
        <f>I7-I8</f>
        <v/>
      </c>
    </row>
    <row r="10">
      <c r="A10" s="11" t="inlineStr">
        <is>
          <t>Employee cost</t>
        </is>
      </c>
      <c r="B10" s="12" t="n">
        <v>145</v>
      </c>
      <c r="C10" s="12" t="n">
        <v>150</v>
      </c>
      <c r="D10" s="12" t="n">
        <v>138</v>
      </c>
      <c r="E10" s="12" t="n">
        <v>155</v>
      </c>
      <c r="F10" s="12" t="n">
        <v>175</v>
      </c>
      <c r="G10" s="12" t="n">
        <v>210</v>
      </c>
      <c r="H10" s="12" t="n">
        <v>265</v>
      </c>
      <c r="I10" s="12" t="n">
        <v>180</v>
      </c>
    </row>
    <row r="11">
      <c r="A11" s="11" t="inlineStr">
        <is>
          <t>Power &amp; fuel</t>
        </is>
      </c>
      <c r="B11" s="12" t="n">
        <v>38</v>
      </c>
      <c r="C11" s="12" t="n">
        <v>40</v>
      </c>
      <c r="D11" s="12" t="n">
        <v>32</v>
      </c>
      <c r="E11" s="12" t="n">
        <v>42</v>
      </c>
      <c r="F11" s="12" t="n">
        <v>48</v>
      </c>
      <c r="G11" s="12" t="n">
        <v>58</v>
      </c>
      <c r="H11" s="12" t="n">
        <v>72</v>
      </c>
      <c r="I11" s="12" t="n">
        <v>50</v>
      </c>
    </row>
    <row r="12">
      <c r="A12" s="11" t="inlineStr">
        <is>
          <t>Rent / lease</t>
        </is>
      </c>
      <c r="B12" s="12" t="n">
        <v>6</v>
      </c>
      <c r="C12" s="12" t="n">
        <v>6</v>
      </c>
      <c r="D12" s="12" t="n">
        <v>6</v>
      </c>
      <c r="E12" s="12" t="n">
        <v>6</v>
      </c>
      <c r="F12" s="12" t="n">
        <v>12</v>
      </c>
      <c r="G12" s="12" t="n">
        <v>18</v>
      </c>
      <c r="H12" s="12" t="n">
        <v>19</v>
      </c>
      <c r="I12" s="12" t="n">
        <v>13</v>
      </c>
    </row>
    <row r="13">
      <c r="A13" s="11" t="inlineStr">
        <is>
          <t>Repairs &amp; maintenance</t>
        </is>
      </c>
      <c r="B13" s="12" t="n">
        <v>22</v>
      </c>
      <c r="C13" s="12" t="n">
        <v>25</v>
      </c>
      <c r="D13" s="12" t="n">
        <v>18</v>
      </c>
      <c r="E13" s="12" t="n">
        <v>28</v>
      </c>
      <c r="F13" s="12" t="n">
        <v>32</v>
      </c>
      <c r="G13" s="12" t="n">
        <v>40</v>
      </c>
      <c r="H13" s="12" t="n">
        <v>48</v>
      </c>
      <c r="I13" s="12" t="n">
        <v>32</v>
      </c>
    </row>
    <row r="14">
      <c r="A14" s="11" t="inlineStr">
        <is>
          <t>Selling &amp; admin</t>
        </is>
      </c>
      <c r="B14" s="12" t="n">
        <v>35</v>
      </c>
      <c r="C14" s="12" t="n">
        <v>36</v>
      </c>
      <c r="D14" s="12" t="n">
        <v>28</v>
      </c>
      <c r="E14" s="12" t="n">
        <v>40</v>
      </c>
      <c r="F14" s="12" t="n">
        <v>48</v>
      </c>
      <c r="G14" s="12" t="n">
        <v>55</v>
      </c>
      <c r="H14" s="12" t="n">
        <v>68</v>
      </c>
      <c r="I14" s="12" t="n">
        <v>45</v>
      </c>
    </row>
    <row r="15">
      <c r="A15" s="11" t="inlineStr">
        <is>
          <t>Depreciation</t>
        </is>
      </c>
      <c r="B15" s="12" t="n">
        <v>40</v>
      </c>
      <c r="C15" s="12" t="n">
        <v>42</v>
      </c>
      <c r="D15" s="12" t="n">
        <v>44</v>
      </c>
      <c r="E15" s="12" t="n">
        <v>50</v>
      </c>
      <c r="F15" s="12" t="n">
        <v>55</v>
      </c>
      <c r="G15" s="12" t="n">
        <v>70</v>
      </c>
      <c r="H15" s="12" t="n">
        <v>78</v>
      </c>
      <c r="I15" s="12" t="n">
        <v>52</v>
      </c>
    </row>
    <row r="16">
      <c r="A16" s="13" t="inlineStr">
        <is>
          <t>Total OpEx</t>
        </is>
      </c>
      <c r="B16" s="14">
        <f>SUM(B10:B15)</f>
        <v/>
      </c>
      <c r="C16" s="14">
        <f>SUM(C10:C15)</f>
        <v/>
      </c>
      <c r="D16" s="14">
        <f>SUM(D10:D15)</f>
        <v/>
      </c>
      <c r="E16" s="14">
        <f>SUM(E10:E15)</f>
        <v/>
      </c>
      <c r="F16" s="14">
        <f>SUM(F10:F15)</f>
        <v/>
      </c>
      <c r="G16" s="14">
        <f>SUM(G10:G15)</f>
        <v/>
      </c>
      <c r="H16" s="14">
        <f>SUM(H10:H15)</f>
        <v/>
      </c>
      <c r="I16" s="14">
        <f>SUM(I10:I15)</f>
        <v/>
      </c>
    </row>
    <row r="17">
      <c r="A17" s="13" t="inlineStr">
        <is>
          <t>EBITDA</t>
        </is>
      </c>
      <c r="B17" s="16">
        <f>B9-B16+B15</f>
        <v/>
      </c>
      <c r="C17" s="16">
        <f>C9-C16+C15</f>
        <v/>
      </c>
      <c r="D17" s="16">
        <f>D9-D16+D15</f>
        <v/>
      </c>
      <c r="E17" s="16">
        <f>E9-E16+E15</f>
        <v/>
      </c>
      <c r="F17" s="16">
        <f>F9-F16+F15</f>
        <v/>
      </c>
      <c r="G17" s="16">
        <f>G9-G16+G15</f>
        <v/>
      </c>
      <c r="H17" s="16">
        <f>H9-H16+H15</f>
        <v/>
      </c>
      <c r="I17" s="16">
        <f>I9-I16+I15</f>
        <v/>
      </c>
    </row>
    <row r="18">
      <c r="A18" s="11" t="inlineStr">
        <is>
          <t>Interest</t>
        </is>
      </c>
      <c r="B18" s="12" t="n">
        <v>18</v>
      </c>
      <c r="C18" s="12" t="n">
        <v>20</v>
      </c>
      <c r="D18" s="12" t="n">
        <v>22</v>
      </c>
      <c r="E18" s="12" t="n">
        <v>24</v>
      </c>
      <c r="F18" s="12" t="n">
        <v>26</v>
      </c>
      <c r="G18" s="12" t="n">
        <v>32</v>
      </c>
      <c r="H18" s="12" t="n">
        <v>35</v>
      </c>
      <c r="I18" s="12" t="n">
        <v>24</v>
      </c>
    </row>
    <row r="19">
      <c r="A19" s="13" t="inlineStr">
        <is>
          <t>PBT</t>
        </is>
      </c>
      <c r="B19" s="14">
        <f>B9-B16-B18</f>
        <v/>
      </c>
      <c r="C19" s="14">
        <f>C9-C16-C18</f>
        <v/>
      </c>
      <c r="D19" s="14">
        <f>D9-D16-D18</f>
        <v/>
      </c>
      <c r="E19" s="14">
        <f>E9-E16-E18</f>
        <v/>
      </c>
      <c r="F19" s="14">
        <f>F9-F16-F18</f>
        <v/>
      </c>
      <c r="G19" s="14">
        <f>G9-G16-G18</f>
        <v/>
      </c>
      <c r="H19" s="14">
        <f>H9-H16-H18</f>
        <v/>
      </c>
      <c r="I19" s="14">
        <f>I9-I16-I18</f>
        <v/>
      </c>
    </row>
    <row r="20">
      <c r="A20" s="11" t="inlineStr">
        <is>
          <t>Tax (approx 25%)</t>
        </is>
      </c>
      <c r="B20" s="17">
        <f>MAX(0,B19)*0.25</f>
        <v/>
      </c>
      <c r="C20" s="17">
        <f>MAX(0,C19)*0.25</f>
        <v/>
      </c>
      <c r="D20" s="17">
        <f>MAX(0,D19)*0.25</f>
        <v/>
      </c>
      <c r="E20" s="17">
        <f>MAX(0,E19)*0.25</f>
        <v/>
      </c>
      <c r="F20" s="17">
        <f>MAX(0,F19)*0.25</f>
        <v/>
      </c>
      <c r="G20" s="17">
        <f>MAX(0,G19)*0.25</f>
        <v/>
      </c>
      <c r="H20" s="17">
        <f>MAX(0,H19)*0.25</f>
        <v/>
      </c>
      <c r="I20" s="17">
        <f>MAX(0,I19)*0.25</f>
        <v/>
      </c>
    </row>
    <row r="21">
      <c r="A21" s="13" t="inlineStr">
        <is>
          <t>PAT (Net Profit)</t>
        </is>
      </c>
      <c r="B21" s="18">
        <f>B19-B20</f>
        <v/>
      </c>
      <c r="C21" s="18">
        <f>C19-C20</f>
        <v/>
      </c>
      <c r="D21" s="18">
        <f>D19-D20</f>
        <v/>
      </c>
      <c r="E21" s="18">
        <f>E19-E20</f>
        <v/>
      </c>
      <c r="F21" s="18">
        <f>F19-F20</f>
        <v/>
      </c>
      <c r="G21" s="18">
        <f>G19-G20</f>
        <v/>
      </c>
      <c r="H21" s="18">
        <f>H19-H20</f>
        <v/>
      </c>
      <c r="I21" s="18">
        <f>I19-I20</f>
        <v/>
      </c>
    </row>
    <row r="23">
      <c r="A23" s="11" t="inlineStr">
        <is>
          <t>Gross margin %</t>
        </is>
      </c>
      <c r="B23" s="19">
        <f>IF(B7=0,0,B9/B7)</f>
        <v/>
      </c>
      <c r="C23" s="19">
        <f>IF(C7=0,0,C9/C7)</f>
        <v/>
      </c>
      <c r="D23" s="19">
        <f>IF(D7=0,0,D9/D7)</f>
        <v/>
      </c>
      <c r="E23" s="19">
        <f>IF(E7=0,0,E9/E7)</f>
        <v/>
      </c>
      <c r="F23" s="19">
        <f>IF(F7=0,0,F9/F7)</f>
        <v/>
      </c>
      <c r="G23" s="19">
        <f>IF(G7=0,0,G9/G7)</f>
        <v/>
      </c>
      <c r="H23" s="19">
        <f>IF(H7=0,0,H9/H7)</f>
        <v/>
      </c>
      <c r="I23" s="19">
        <f>IF(I7=0,0,I9/I7)</f>
        <v/>
      </c>
    </row>
    <row r="24">
      <c r="A24" s="11" t="inlineStr">
        <is>
          <t>PAT margin %</t>
        </is>
      </c>
      <c r="B24" s="19">
        <f>IF(B7=0,0,B21/B7)</f>
        <v/>
      </c>
      <c r="C24" s="19">
        <f>IF(C7=0,0,C21/C7)</f>
        <v/>
      </c>
      <c r="D24" s="19">
        <f>IF(D7=0,0,D21/D7)</f>
        <v/>
      </c>
      <c r="E24" s="19">
        <f>IF(E7=0,0,E21/E7)</f>
        <v/>
      </c>
      <c r="F24" s="19">
        <f>IF(F7=0,0,F21/F7)</f>
        <v/>
      </c>
      <c r="G24" s="19">
        <f>IF(G7=0,0,G21/G7)</f>
        <v/>
      </c>
      <c r="H24" s="19">
        <f>IF(H7=0,0,H21/H7)</f>
        <v/>
      </c>
      <c r="I24" s="19">
        <f>IF(I7=0,0,I21/I7)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32" customWidth="1" min="5" max="5"/>
    <col width="14" customWidth="1" min="6" max="6"/>
    <col width="8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Big &amp; Small Deals Register</t>
        </is>
      </c>
    </row>
    <row r="3">
      <c r="A3" s="6" t="inlineStr">
        <is>
          <t>Deal ID</t>
        </is>
      </c>
      <c r="B3" s="6" t="inlineStr">
        <is>
          <t>Date</t>
        </is>
      </c>
      <c r="C3" s="6" t="inlineStr">
        <is>
          <t>Size</t>
        </is>
      </c>
      <c r="D3" s="6" t="inlineStr">
        <is>
          <t>Customer</t>
        </is>
      </c>
      <c r="E3" s="6" t="inlineStr">
        <is>
          <t>Description</t>
        </is>
      </c>
      <c r="F3" s="6" t="inlineStr">
        <is>
          <t>Value (INR Lakh)</t>
        </is>
      </c>
      <c r="G3" s="6" t="inlineStr">
        <is>
          <t>Term</t>
        </is>
      </c>
      <c r="H3" s="6" t="inlineStr">
        <is>
          <t>Status</t>
        </is>
      </c>
      <c r="I3" s="6" t="inlineStr">
        <is>
          <t>Margin %</t>
        </is>
      </c>
      <c r="J3" s="6" t="inlineStr">
        <is>
          <t>Strategic Note</t>
        </is>
      </c>
    </row>
    <row r="4">
      <c r="A4" s="11" t="inlineStr">
        <is>
          <t>D-2017-01</t>
        </is>
      </c>
      <c r="B4" s="11" t="inlineStr">
        <is>
          <t>2017-06</t>
        </is>
      </c>
      <c r="C4" s="20" t="inlineStr">
        <is>
          <t>BIG</t>
        </is>
      </c>
      <c r="D4" s="11" t="inlineStr">
        <is>
          <t>Precision Tools Co</t>
        </is>
      </c>
      <c r="E4" s="11" t="inlineStr">
        <is>
          <t>3-year CNC brackets &amp; housings</t>
        </is>
      </c>
      <c r="F4" s="21" t="n">
        <v>860</v>
      </c>
      <c r="G4" s="11" t="inlineStr">
        <is>
          <t>3 yr</t>
        </is>
      </c>
      <c r="H4" s="11" t="inlineStr">
        <is>
          <t>Completed</t>
        </is>
      </c>
      <c r="I4" s="22" t="n">
        <v>0.22</v>
      </c>
      <c r="J4" s="11" t="inlineStr">
        <is>
          <t>Anchor customer</t>
        </is>
      </c>
    </row>
    <row r="5">
      <c r="A5" s="11" t="inlineStr">
        <is>
          <t>D-2019-01</t>
        </is>
      </c>
      <c r="B5" s="11" t="inlineStr">
        <is>
          <t>2019-09</t>
        </is>
      </c>
      <c r="C5" s="20" t="inlineStr">
        <is>
          <t>BIG</t>
        </is>
      </c>
      <c r="D5" s="11" t="inlineStr">
        <is>
          <t>Gulf Parts Trading</t>
        </is>
      </c>
      <c r="E5" s="11" t="inlineStr">
        <is>
          <t>Export assemblies UAE</t>
        </is>
      </c>
      <c r="F5" s="21" t="n">
        <v>510</v>
      </c>
      <c r="G5" s="11" t="inlineStr">
        <is>
          <t>2 yr</t>
        </is>
      </c>
      <c r="H5" s="11" t="inlineStr">
        <is>
          <t>Completed</t>
        </is>
      </c>
      <c r="I5" s="22" t="n">
        <v>0.18</v>
      </c>
      <c r="J5" s="11" t="inlineStr">
        <is>
          <t>First large export</t>
        </is>
      </c>
    </row>
    <row r="6">
      <c r="A6" s="11" t="inlineStr">
        <is>
          <t>D-2021-01</t>
        </is>
      </c>
      <c r="B6" s="11" t="inlineStr">
        <is>
          <t>2021-11</t>
        </is>
      </c>
      <c r="C6" s="23" t="inlineStr">
        <is>
          <t>SMALL</t>
        </is>
      </c>
      <c r="D6" s="11" t="inlineStr">
        <is>
          <t>Local fleet operators</t>
        </is>
      </c>
      <c r="E6" s="11" t="inlineStr">
        <is>
          <t>Spare parts rate contract</t>
        </is>
      </c>
      <c r="F6" s="21" t="n">
        <v>67</v>
      </c>
      <c r="G6" s="11" t="inlineStr">
        <is>
          <t>1 yr</t>
        </is>
      </c>
      <c r="H6" s="11" t="inlineStr">
        <is>
          <t>Completed</t>
        </is>
      </c>
      <c r="I6" s="22" t="n">
        <v>0.28</v>
      </c>
      <c r="J6" s="11" t="inlineStr">
        <is>
          <t>High margin spares</t>
        </is>
      </c>
    </row>
    <row r="7">
      <c r="A7" s="11" t="inlineStr">
        <is>
          <t>D-2022-01</t>
        </is>
      </c>
      <c r="B7" s="11" t="inlineStr">
        <is>
          <t>2022-05</t>
        </is>
      </c>
      <c r="C7" s="23" t="inlineStr">
        <is>
          <t>SMALL</t>
        </is>
      </c>
      <c r="D7" s="11" t="inlineStr">
        <is>
          <t>EV Startup Labs</t>
        </is>
      </c>
      <c r="E7" s="11" t="inlineStr">
        <is>
          <t>Motor housing pilot</t>
        </is>
      </c>
      <c r="F7" s="21" t="n">
        <v>145</v>
      </c>
      <c r="G7" s="11" t="inlineStr">
        <is>
          <t>6 mo</t>
        </is>
      </c>
      <c r="H7" s="11" t="inlineStr">
        <is>
          <t>Completed</t>
        </is>
      </c>
      <c r="I7" s="22" t="n">
        <v>0.15</v>
      </c>
      <c r="J7" s="11" t="inlineStr">
        <is>
          <t>Entry to EV</t>
        </is>
      </c>
    </row>
    <row r="8">
      <c r="A8" s="11" t="inlineStr">
        <is>
          <t>D-2022-02</t>
        </is>
      </c>
      <c r="B8" s="11" t="inlineStr">
        <is>
          <t>2022-12</t>
        </is>
      </c>
      <c r="C8" s="20" t="inlineStr">
        <is>
          <t>BIG</t>
        </is>
      </c>
      <c r="D8" s="11" t="inlineStr">
        <is>
          <t>NordicDrive GmbH</t>
        </is>
      </c>
      <c r="E8" s="11" t="inlineStr">
        <is>
          <t>Serial supply Germany</t>
        </is>
      </c>
      <c r="F8" s="21" t="n">
        <v>720</v>
      </c>
      <c r="G8" s="11" t="inlineStr">
        <is>
          <t>3 yr</t>
        </is>
      </c>
      <c r="H8" s="24" t="inlineStr">
        <is>
          <t>Active</t>
        </is>
      </c>
      <c r="I8" s="22" t="n">
        <v>0.2</v>
      </c>
      <c r="J8" s="11" t="inlineStr">
        <is>
          <t>Quality critical</t>
        </is>
      </c>
    </row>
    <row r="9">
      <c r="A9" s="11" t="inlineStr">
        <is>
          <t>D-2024-01</t>
        </is>
      </c>
      <c r="B9" s="11" t="inlineStr">
        <is>
          <t>2024-04</t>
        </is>
      </c>
      <c r="C9" s="20" t="inlineStr">
        <is>
          <t>BIG</t>
        </is>
      </c>
      <c r="D9" s="11" t="inlineStr">
        <is>
          <t>VoltFrame Mobility</t>
        </is>
      </c>
      <c r="E9" s="11" t="inlineStr">
        <is>
          <t>EV structural parts 5-year</t>
        </is>
      </c>
      <c r="F9" s="21" t="n">
        <v>2400</v>
      </c>
      <c r="G9" s="11" t="inlineStr">
        <is>
          <t>5 yr</t>
        </is>
      </c>
      <c r="H9" s="24" t="inlineStr">
        <is>
          <t>Active</t>
        </is>
      </c>
      <c r="I9" s="22" t="n">
        <v>0.17</v>
      </c>
      <c r="J9" s="11" t="inlineStr">
        <is>
          <t>Largest backlog</t>
        </is>
      </c>
    </row>
    <row r="10">
      <c r="A10" s="11" t="inlineStr">
        <is>
          <t>D-2024-02</t>
        </is>
      </c>
      <c r="B10" s="11" t="inlineStr">
        <is>
          <t>2024-09</t>
        </is>
      </c>
      <c r="C10" s="23" t="inlineStr">
        <is>
          <t>SMALL</t>
        </is>
      </c>
      <c r="D10" s="11" t="inlineStr">
        <is>
          <t>Various industrial</t>
        </is>
      </c>
      <c r="E10" s="11" t="inlineStr">
        <is>
          <t>Job-lot fabrication</t>
        </is>
      </c>
      <c r="F10" s="21" t="n">
        <v>38</v>
      </c>
      <c r="G10" s="11" t="inlineStr">
        <is>
          <t>Spot</t>
        </is>
      </c>
      <c r="H10" s="11" t="inlineStr">
        <is>
          <t>Completed</t>
        </is>
      </c>
      <c r="I10" s="22" t="n">
        <v>0.32</v>
      </c>
      <c r="J10" s="11" t="inlineStr">
        <is>
          <t>Fill capacity</t>
        </is>
      </c>
    </row>
    <row r="11">
      <c r="A11" s="11" t="inlineStr">
        <is>
          <t>D-2025-01</t>
        </is>
      </c>
      <c r="B11" s="11" t="inlineStr">
        <is>
          <t>2025-06</t>
        </is>
      </c>
      <c r="C11" s="20" t="inlineStr">
        <is>
          <t>BIG</t>
        </is>
      </c>
      <c r="D11" s="11" t="inlineStr">
        <is>
          <t>Metro Auto OEM</t>
        </is>
      </c>
      <c r="E11" s="11" t="inlineStr">
        <is>
          <t>Lost bid — underpriced rival</t>
        </is>
      </c>
      <c r="F11" s="21" t="n">
        <v>180</v>
      </c>
      <c r="G11" s="11" t="inlineStr">
        <is>
          <t>—</t>
        </is>
      </c>
      <c r="H11" s="25" t="inlineStr">
        <is>
          <t>Lost</t>
        </is>
      </c>
      <c r="I11" s="22" t="n">
        <v>0</v>
      </c>
      <c r="J11" s="11" t="inlineStr">
        <is>
          <t>Do not chase price-only</t>
        </is>
      </c>
    </row>
    <row r="12">
      <c r="A12" s="11" t="inlineStr">
        <is>
          <t>D-2025-02</t>
        </is>
      </c>
      <c r="B12" s="11" t="inlineStr">
        <is>
          <t>2025-11</t>
        </is>
      </c>
      <c r="C12" s="23" t="inlineStr">
        <is>
          <t>SMALL</t>
        </is>
      </c>
      <c r="D12" s="11" t="inlineStr">
        <is>
          <t>In-house + SMEs</t>
        </is>
      </c>
      <c r="E12" s="11" t="inlineStr">
        <is>
          <t>Fixture design services</t>
        </is>
      </c>
      <c r="F12" s="21" t="n">
        <v>29</v>
      </c>
      <c r="G12" s="11" t="inlineStr">
        <is>
          <t>Spot</t>
        </is>
      </c>
      <c r="H12" s="24" t="inlineStr">
        <is>
          <t>Active</t>
        </is>
      </c>
      <c r="I12" s="22" t="n">
        <v>0.4</v>
      </c>
      <c r="J12" s="11" t="inlineStr">
        <is>
          <t>Services growth</t>
        </is>
      </c>
    </row>
    <row r="13">
      <c r="A13" s="11" t="inlineStr">
        <is>
          <t>D-2026-01</t>
        </is>
      </c>
      <c r="B13" s="11" t="inlineStr">
        <is>
          <t>2026-08</t>
        </is>
      </c>
      <c r="C13" s="20" t="inlineStr">
        <is>
          <t>BIG</t>
        </is>
      </c>
      <c r="D13" s="11" t="inlineStr">
        <is>
          <t>Precision Tools Co</t>
        </is>
      </c>
      <c r="E13" s="11" t="inlineStr">
        <is>
          <t>Contract renewal +7%</t>
        </is>
      </c>
      <c r="F13" s="21" t="n">
        <v>920</v>
      </c>
      <c r="G13" s="11" t="inlineStr">
        <is>
          <t>2 yr</t>
        </is>
      </c>
      <c r="H13" s="24" t="inlineStr">
        <is>
          <t>Active</t>
        </is>
      </c>
      <c r="I13" s="22" t="n">
        <v>0.23</v>
      </c>
      <c r="J13" s="11" t="inlineStr">
        <is>
          <t>Retain &amp; upsell</t>
        </is>
      </c>
    </row>
    <row r="14">
      <c r="A14" s="11" t="inlineStr">
        <is>
          <t>D-2026-02</t>
        </is>
      </c>
      <c r="B14" s="11" t="inlineStr">
        <is>
          <t>2026-03</t>
        </is>
      </c>
      <c r="C14" s="23" t="inlineStr">
        <is>
          <t>SMALL</t>
        </is>
      </c>
      <c r="D14" s="11" t="inlineStr">
        <is>
          <t>Plant maintenance ops</t>
        </is>
      </c>
      <c r="E14" s="11" t="inlineStr">
        <is>
          <t>Emergency machining jobs</t>
        </is>
      </c>
      <c r="F14" s="21" t="n">
        <v>16</v>
      </c>
      <c r="G14" s="11" t="inlineStr">
        <is>
          <t>Spot</t>
        </is>
      </c>
      <c r="H14" s="11" t="inlineStr">
        <is>
          <t>Completed</t>
        </is>
      </c>
      <c r="I14" s="22" t="n">
        <v>0.35</v>
      </c>
      <c r="J14" s="11" t="inlineStr">
        <is>
          <t>Good utilization</t>
        </is>
      </c>
    </row>
    <row r="15">
      <c r="A15" s="11" t="inlineStr">
        <is>
          <t>D-2026-03</t>
        </is>
      </c>
      <c r="B15" s="11" t="inlineStr">
        <is>
          <t>2026-07</t>
        </is>
      </c>
      <c r="C15" s="23" t="inlineStr">
        <is>
          <t>SMALL</t>
        </is>
      </c>
      <c r="D15" s="11" t="inlineStr">
        <is>
          <t>Packaging vendor</t>
        </is>
      </c>
      <c r="E15" s="11" t="inlineStr">
        <is>
          <t>Custom metal inserts</t>
        </is>
      </c>
      <c r="F15" s="21" t="n">
        <v>11</v>
      </c>
      <c r="G15" s="11" t="inlineStr">
        <is>
          <t>6 mo</t>
        </is>
      </c>
      <c r="H15" s="24" t="inlineStr">
        <is>
          <t>Active</t>
        </is>
      </c>
      <c r="I15" s="22" t="n">
        <v>0.25</v>
      </c>
      <c r="J15" s="11" t="inlineStr">
        <is>
          <t>Minor</t>
        </is>
      </c>
    </row>
    <row r="17">
      <c r="A17" t="inlineStr">
        <is>
          <t>Active backlog value (approx)</t>
        </is>
      </c>
      <c r="B17" s="26">
        <f>SUMIF(H4:H15,"Active",F4:F15)</f>
        <v/>
      </c>
    </row>
    <row r="18">
      <c r="A18" t="inlineStr">
        <is>
          <t>Big deals share of listed value</t>
        </is>
      </c>
      <c r="B18" s="27">
        <f>SUMIF(C4:C15,"BIG",F4:F15)/SUM(F4:F15)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12" customWidth="1" min="5" max="5"/>
    <col width="8" customWidth="1" min="6" max="6"/>
    <col width="12" customWidth="1" min="7" max="7"/>
    <col width="12" customWidth="1" min="8" max="8"/>
    <col width="10" customWidth="1" min="9" max="9"/>
    <col width="16" customWidth="1" min="10" max="10"/>
  </cols>
  <sheetData>
    <row r="1">
      <c r="A1" s="1" t="inlineStr">
        <is>
          <t>Daily Trade / Dispatch Log — Sample month (Aug 2026) — INR</t>
        </is>
      </c>
    </row>
    <row r="3">
      <c r="A3" s="6" t="inlineStr">
        <is>
          <t>Date</t>
        </is>
      </c>
      <c r="B3" s="6" t="inlineStr">
        <is>
          <t>Doc No</t>
        </is>
      </c>
      <c r="C3" s="6" t="inlineStr">
        <is>
          <t>Type</t>
        </is>
      </c>
      <c r="D3" s="6" t="inlineStr">
        <is>
          <t>Customer / Vendor</t>
        </is>
      </c>
      <c r="E3" s="6" t="inlineStr">
        <is>
          <t>SKU / Job</t>
        </is>
      </c>
      <c r="F3" s="6" t="inlineStr">
        <is>
          <t>Qty</t>
        </is>
      </c>
      <c r="G3" s="6" t="inlineStr">
        <is>
          <t>Unit Price</t>
        </is>
      </c>
      <c r="H3" s="6" t="inlineStr">
        <is>
          <t>Amount</t>
        </is>
      </c>
      <c r="I3" s="6" t="inlineStr">
        <is>
          <t>Direction</t>
        </is>
      </c>
      <c r="J3" s="6" t="inlineStr">
        <is>
          <t>Notes</t>
        </is>
      </c>
    </row>
    <row r="4">
      <c r="A4" s="11" t="inlineStr">
        <is>
          <t>2026-08-01</t>
        </is>
      </c>
      <c r="B4" s="11" t="inlineStr">
        <is>
          <t>INV-2401</t>
        </is>
      </c>
      <c r="C4" s="11" t="inlineStr">
        <is>
          <t>Sale</t>
        </is>
      </c>
      <c r="D4" s="11" t="inlineStr">
        <is>
          <t>Precision Tools Co</t>
        </is>
      </c>
      <c r="E4" s="11" t="inlineStr">
        <is>
          <t>BRK-44</t>
        </is>
      </c>
      <c r="F4" s="28" t="n">
        <v>500</v>
      </c>
      <c r="G4" s="28" t="n">
        <v>185</v>
      </c>
      <c r="H4" s="28" t="n">
        <v>92500</v>
      </c>
      <c r="I4" s="29" t="inlineStr">
        <is>
          <t>OUT</t>
        </is>
      </c>
      <c r="J4" s="11" t="inlineStr">
        <is>
          <t>Scheduled</t>
        </is>
      </c>
    </row>
    <row r="5">
      <c r="A5" s="11" t="inlineStr">
        <is>
          <t>2026-08-01</t>
        </is>
      </c>
      <c r="B5" s="11" t="inlineStr">
        <is>
          <t>PO-881</t>
        </is>
      </c>
      <c r="C5" s="11" t="inlineStr">
        <is>
          <t>Purchase</t>
        </is>
      </c>
      <c r="D5" s="11" t="inlineStr">
        <is>
          <t>Steel Mart</t>
        </is>
      </c>
      <c r="E5" s="11" t="inlineStr">
        <is>
          <t>RM-STEEL-5</t>
        </is>
      </c>
      <c r="F5" s="28" t="n">
        <v>2</v>
      </c>
      <c r="G5" s="28" t="n">
        <v>45000</v>
      </c>
      <c r="H5" s="28" t="n">
        <v>90000</v>
      </c>
      <c r="I5" s="20" t="inlineStr">
        <is>
          <t>IN</t>
        </is>
      </c>
      <c r="J5" s="11" t="inlineStr">
        <is>
          <t>Raw material</t>
        </is>
      </c>
    </row>
    <row r="6">
      <c r="A6" s="11" t="inlineStr">
        <is>
          <t>2026-08-02</t>
        </is>
      </c>
      <c r="B6" s="11" t="inlineStr">
        <is>
          <t>INV-2402</t>
        </is>
      </c>
      <c r="C6" s="11" t="inlineStr">
        <is>
          <t>Sale</t>
        </is>
      </c>
      <c r="D6" s="11" t="inlineStr">
        <is>
          <t>NordicDrive GmbH</t>
        </is>
      </c>
      <c r="E6" s="11" t="inlineStr">
        <is>
          <t>HSG-12</t>
        </is>
      </c>
      <c r="F6" s="28" t="n">
        <v>120</v>
      </c>
      <c r="G6" s="28" t="n">
        <v>920</v>
      </c>
      <c r="H6" s="28" t="n">
        <v>110400</v>
      </c>
      <c r="I6" s="29" t="inlineStr">
        <is>
          <t>OUT</t>
        </is>
      </c>
      <c r="J6" s="11" t="inlineStr">
        <is>
          <t>Export pack</t>
        </is>
      </c>
    </row>
    <row r="7">
      <c r="A7" s="11" t="inlineStr">
        <is>
          <t>2026-08-04</t>
        </is>
      </c>
      <c r="B7" s="11" t="inlineStr">
        <is>
          <t>INV-2403</t>
        </is>
      </c>
      <c r="C7" s="11" t="inlineStr">
        <is>
          <t>Sale</t>
        </is>
      </c>
      <c r="D7" s="11" t="inlineStr">
        <is>
          <t>Job-lot walk-in</t>
        </is>
      </c>
      <c r="E7" s="11" t="inlineStr">
        <is>
          <t>FAB-MISC</t>
        </is>
      </c>
      <c r="F7" s="28" t="n">
        <v>1</v>
      </c>
      <c r="G7" s="28" t="n">
        <v>28000</v>
      </c>
      <c r="H7" s="28" t="n">
        <v>28000</v>
      </c>
      <c r="I7" s="29" t="inlineStr">
        <is>
          <t>OUT</t>
        </is>
      </c>
      <c r="J7" s="11" t="inlineStr">
        <is>
          <t>Spot job</t>
        </is>
      </c>
    </row>
    <row r="8">
      <c r="A8" s="11" t="inlineStr">
        <is>
          <t>2026-08-05</t>
        </is>
      </c>
      <c r="B8" s="11" t="inlineStr">
        <is>
          <t>BILL-902</t>
        </is>
      </c>
      <c r="C8" s="11" t="inlineStr">
        <is>
          <t>Expense</t>
        </is>
      </c>
      <c r="D8" s="11" t="inlineStr">
        <is>
          <t>MSEB Power</t>
        </is>
      </c>
      <c r="E8" s="11" t="inlineStr">
        <is>
          <t>POWER-AUG</t>
        </is>
      </c>
      <c r="F8" s="28" t="n">
        <v>1</v>
      </c>
      <c r="G8" s="28" t="n">
        <v>185000</v>
      </c>
      <c r="H8" s="28" t="n">
        <v>185000</v>
      </c>
      <c r="I8" s="29" t="inlineStr">
        <is>
          <t>OUT</t>
        </is>
      </c>
      <c r="J8" s="11" t="inlineStr">
        <is>
          <t>Electricity</t>
        </is>
      </c>
    </row>
    <row r="9">
      <c r="A9" s="11" t="inlineStr">
        <is>
          <t>2026-08-06</t>
        </is>
      </c>
      <c r="B9" s="11" t="inlineStr">
        <is>
          <t>INV-2404</t>
        </is>
      </c>
      <c r="C9" s="11" t="inlineStr">
        <is>
          <t>Sale</t>
        </is>
      </c>
      <c r="D9" s="11" t="inlineStr">
        <is>
          <t>VoltFrame Mobility</t>
        </is>
      </c>
      <c r="E9" s="11" t="inlineStr">
        <is>
          <t>EV-ST-01</t>
        </is>
      </c>
      <c r="F9" s="28" t="n">
        <v>80</v>
      </c>
      <c r="G9" s="28" t="n">
        <v>2100</v>
      </c>
      <c r="H9" s="28" t="n">
        <v>168000</v>
      </c>
      <c r="I9" s="29" t="inlineStr">
        <is>
          <t>OUT</t>
        </is>
      </c>
      <c r="J9" s="11" t="inlineStr">
        <is>
          <t>Ramp order</t>
        </is>
      </c>
    </row>
    <row r="10">
      <c r="A10" s="11" t="inlineStr">
        <is>
          <t>2026-08-07</t>
        </is>
      </c>
      <c r="B10" s="11" t="inlineStr">
        <is>
          <t>PO-882</t>
        </is>
      </c>
      <c r="C10" s="11" t="inlineStr">
        <is>
          <t>Purchase</t>
        </is>
      </c>
      <c r="D10" s="11" t="inlineStr">
        <is>
          <t>Bearings Plus</t>
        </is>
      </c>
      <c r="E10" s="11" t="inlineStr">
        <is>
          <t>SP-6204</t>
        </is>
      </c>
      <c r="F10" s="28" t="n">
        <v>100</v>
      </c>
      <c r="G10" s="28" t="n">
        <v>180</v>
      </c>
      <c r="H10" s="28" t="n">
        <v>18000</v>
      </c>
      <c r="I10" s="20" t="inlineStr">
        <is>
          <t>IN</t>
        </is>
      </c>
      <c r="J10" s="11" t="inlineStr">
        <is>
          <t>Spares</t>
        </is>
      </c>
    </row>
    <row r="11">
      <c r="A11" s="11" t="inlineStr">
        <is>
          <t>2026-08-08</t>
        </is>
      </c>
      <c r="B11" s="11" t="inlineStr">
        <is>
          <t>INV-2405</t>
        </is>
      </c>
      <c r="C11" s="11" t="inlineStr">
        <is>
          <t>Sale</t>
        </is>
      </c>
      <c r="D11" s="11" t="inlineStr">
        <is>
          <t>Gulf Parts Trading</t>
        </is>
      </c>
      <c r="E11" s="11" t="inlineStr">
        <is>
          <t>ASM-09</t>
        </is>
      </c>
      <c r="F11" s="28" t="n">
        <v>60</v>
      </c>
      <c r="G11" s="28" t="n">
        <v>1500</v>
      </c>
      <c r="H11" s="28" t="n">
        <v>90000</v>
      </c>
      <c r="I11" s="29" t="inlineStr">
        <is>
          <t>OUT</t>
        </is>
      </c>
      <c r="J11" s="11" t="inlineStr">
        <is>
          <t>UAE</t>
        </is>
      </c>
    </row>
    <row r="12">
      <c r="A12" s="11" t="inlineStr">
        <is>
          <t>2026-08-09</t>
        </is>
      </c>
      <c r="B12" s="11" t="inlineStr">
        <is>
          <t>PAY-W1</t>
        </is>
      </c>
      <c r="C12" s="11" t="inlineStr">
        <is>
          <t>Payroll</t>
        </is>
      </c>
      <c r="D12" s="11" t="inlineStr">
        <is>
          <t>Staff</t>
        </is>
      </c>
      <c r="E12" s="11" t="inlineStr">
        <is>
          <t>WAGES-W1</t>
        </is>
      </c>
      <c r="F12" s="28" t="n">
        <v>1</v>
      </c>
      <c r="G12" s="28" t="n">
        <v>420000</v>
      </c>
      <c r="H12" s="28" t="n">
        <v>420000</v>
      </c>
      <c r="I12" s="29" t="inlineStr">
        <is>
          <t>OUT</t>
        </is>
      </c>
      <c r="J12" s="11" t="inlineStr">
        <is>
          <t>Weekly wages batch</t>
        </is>
      </c>
    </row>
    <row r="13">
      <c r="A13" s="11" t="inlineStr">
        <is>
          <t>2026-08-11</t>
        </is>
      </c>
      <c r="B13" s="11" t="inlineStr">
        <is>
          <t>INV-2406</t>
        </is>
      </c>
      <c r="C13" s="11" t="inlineStr">
        <is>
          <t>Sale</t>
        </is>
      </c>
      <c r="D13" s="11" t="inlineStr">
        <is>
          <t>Precision Tools Co</t>
        </is>
      </c>
      <c r="E13" s="11" t="inlineStr">
        <is>
          <t>HSG-07</t>
        </is>
      </c>
      <c r="F13" s="28" t="n">
        <v>300</v>
      </c>
      <c r="G13" s="28" t="n">
        <v>640</v>
      </c>
      <c r="H13" s="28" t="n">
        <v>192000</v>
      </c>
      <c r="I13" s="29" t="inlineStr">
        <is>
          <t>OUT</t>
        </is>
      </c>
      <c r="J13" s="11" t="inlineStr"/>
    </row>
    <row r="14">
      <c r="A14" s="11" t="inlineStr">
        <is>
          <t>2026-08-12</t>
        </is>
      </c>
      <c r="B14" s="11" t="inlineStr">
        <is>
          <t>INV-2407</t>
        </is>
      </c>
      <c r="C14" s="11" t="inlineStr">
        <is>
          <t>Sale</t>
        </is>
      </c>
      <c r="D14" s="11" t="inlineStr">
        <is>
          <t>SME Tooling</t>
        </is>
      </c>
      <c r="E14" s="11" t="inlineStr">
        <is>
          <t>FIX-DESIGN</t>
        </is>
      </c>
      <c r="F14" s="28" t="n">
        <v>1</v>
      </c>
      <c r="G14" s="28" t="n">
        <v>45000</v>
      </c>
      <c r="H14" s="28" t="n">
        <v>45000</v>
      </c>
      <c r="I14" s="29" t="inlineStr">
        <is>
          <t>OUT</t>
        </is>
      </c>
      <c r="J14" s="11" t="inlineStr">
        <is>
          <t>Service</t>
        </is>
      </c>
    </row>
    <row r="15">
      <c r="A15" s="11" t="inlineStr">
        <is>
          <t>2026-08-13</t>
        </is>
      </c>
      <c r="B15" s="11" t="inlineStr">
        <is>
          <t>PO-883</t>
        </is>
      </c>
      <c r="C15" s="11" t="inlineStr">
        <is>
          <t>Purchase</t>
        </is>
      </c>
      <c r="D15" s="11" t="inlineStr">
        <is>
          <t>Copper House</t>
        </is>
      </c>
      <c r="E15" s="11" t="inlineStr">
        <is>
          <t>RM-CU-2</t>
        </is>
      </c>
      <c r="F15" s="28" t="n">
        <v>1</v>
      </c>
      <c r="G15" s="28" t="n">
        <v>32000</v>
      </c>
      <c r="H15" s="28" t="n">
        <v>32000</v>
      </c>
      <c r="I15" s="20" t="inlineStr">
        <is>
          <t>IN</t>
        </is>
      </c>
      <c r="J15" s="11" t="inlineStr"/>
    </row>
    <row r="16">
      <c r="A16" s="11" t="inlineStr">
        <is>
          <t>2026-08-14</t>
        </is>
      </c>
      <c r="B16" s="11" t="inlineStr">
        <is>
          <t>INV-2408</t>
        </is>
      </c>
      <c r="C16" s="11" t="inlineStr">
        <is>
          <t>Sale</t>
        </is>
      </c>
      <c r="D16" s="11" t="inlineStr">
        <is>
          <t>VoltFrame Mobility</t>
        </is>
      </c>
      <c r="E16" s="11" t="inlineStr">
        <is>
          <t>EV-ST-02</t>
        </is>
      </c>
      <c r="F16" s="28" t="n">
        <v>50</v>
      </c>
      <c r="G16" s="28" t="n">
        <v>2400</v>
      </c>
      <c r="H16" s="28" t="n">
        <v>120000</v>
      </c>
      <c r="I16" s="29" t="inlineStr">
        <is>
          <t>OUT</t>
        </is>
      </c>
      <c r="J16" s="11" t="inlineStr"/>
    </row>
    <row r="17">
      <c r="A17" s="11" t="inlineStr">
        <is>
          <t>2026-08-15</t>
        </is>
      </c>
      <c r="B17" s="11" t="inlineStr">
        <is>
          <t>LEASE-WH</t>
        </is>
      </c>
      <c r="C17" s="11" t="inlineStr">
        <is>
          <t>Lease</t>
        </is>
      </c>
      <c r="D17" s="11" t="inlineStr">
        <is>
          <t>Chakan Infra LLP</t>
        </is>
      </c>
      <c r="E17" s="11" t="inlineStr">
        <is>
          <t>WH-LEASE-Q2</t>
        </is>
      </c>
      <c r="F17" s="28" t="n">
        <v>1</v>
      </c>
      <c r="G17" s="28" t="n">
        <v>45000</v>
      </c>
      <c r="H17" s="28" t="n">
        <v>45000</v>
      </c>
      <c r="I17" s="29" t="inlineStr">
        <is>
          <t>OUT</t>
        </is>
      </c>
      <c r="J17" s="11" t="inlineStr">
        <is>
          <t>Warehouse rent</t>
        </is>
      </c>
    </row>
    <row r="18">
      <c r="A18" s="11" t="inlineStr">
        <is>
          <t>2026-08-16</t>
        </is>
      </c>
      <c r="B18" s="11" t="inlineStr">
        <is>
          <t>INV-2409</t>
        </is>
      </c>
      <c r="C18" s="11" t="inlineStr">
        <is>
          <t>Sale</t>
        </is>
      </c>
      <c r="D18" s="11" t="inlineStr">
        <is>
          <t>NordicDrive GmbH</t>
        </is>
      </c>
      <c r="E18" s="11" t="inlineStr">
        <is>
          <t>HSG-12</t>
        </is>
      </c>
      <c r="F18" s="28" t="n">
        <v>90</v>
      </c>
      <c r="G18" s="28" t="n">
        <v>920</v>
      </c>
      <c r="H18" s="28" t="n">
        <v>82800</v>
      </c>
      <c r="I18" s="29" t="inlineStr">
        <is>
          <t>OUT</t>
        </is>
      </c>
      <c r="J18" s="11" t="inlineStr"/>
    </row>
    <row r="19">
      <c r="A19" s="11" t="inlineStr">
        <is>
          <t>2026-08-18</t>
        </is>
      </c>
      <c r="B19" s="11" t="inlineStr">
        <is>
          <t>INV-2410</t>
        </is>
      </c>
      <c r="C19" s="11" t="inlineStr">
        <is>
          <t>Sale</t>
        </is>
      </c>
      <c r="D19" s="11" t="inlineStr">
        <is>
          <t>Local industrial</t>
        </is>
      </c>
      <c r="E19" s="11" t="inlineStr">
        <is>
          <t>FAB-MISC</t>
        </is>
      </c>
      <c r="F19" s="28" t="n">
        <v>3</v>
      </c>
      <c r="G19" s="28" t="n">
        <v>12000</v>
      </c>
      <c r="H19" s="28" t="n">
        <v>36000</v>
      </c>
      <c r="I19" s="29" t="inlineStr">
        <is>
          <t>OUT</t>
        </is>
      </c>
      <c r="J19" s="11" t="inlineStr">
        <is>
          <t>Spot</t>
        </is>
      </c>
    </row>
    <row r="20">
      <c r="A20" s="11" t="inlineStr">
        <is>
          <t>2026-08-19</t>
        </is>
      </c>
      <c r="B20" s="11" t="inlineStr">
        <is>
          <t>PAY-W2</t>
        </is>
      </c>
      <c r="C20" s="11" t="inlineStr">
        <is>
          <t>Payroll</t>
        </is>
      </c>
      <c r="D20" s="11" t="inlineStr">
        <is>
          <t>Staff</t>
        </is>
      </c>
      <c r="E20" s="11" t="inlineStr">
        <is>
          <t>WAGES-W2</t>
        </is>
      </c>
      <c r="F20" s="28" t="n">
        <v>1</v>
      </c>
      <c r="G20" s="28" t="n">
        <v>418000</v>
      </c>
      <c r="H20" s="28" t="n">
        <v>418000</v>
      </c>
      <c r="I20" s="29" t="inlineStr">
        <is>
          <t>OUT</t>
        </is>
      </c>
      <c r="J20" s="11" t="inlineStr"/>
    </row>
    <row r="21">
      <c r="A21" s="11" t="inlineStr">
        <is>
          <t>2026-08-20</t>
        </is>
      </c>
      <c r="B21" s="11" t="inlineStr">
        <is>
          <t>INV-2411</t>
        </is>
      </c>
      <c r="C21" s="11" t="inlineStr">
        <is>
          <t>Sale</t>
        </is>
      </c>
      <c r="D21" s="11" t="inlineStr">
        <is>
          <t>Precision Tools Co</t>
        </is>
      </c>
      <c r="E21" s="11" t="inlineStr">
        <is>
          <t>BRK-44</t>
        </is>
      </c>
      <c r="F21" s="28" t="n">
        <v>450</v>
      </c>
      <c r="G21" s="28" t="n">
        <v>185</v>
      </c>
      <c r="H21" s="28" t="n">
        <v>83250</v>
      </c>
      <c r="I21" s="29" t="inlineStr">
        <is>
          <t>OUT</t>
        </is>
      </c>
      <c r="J21" s="11" t="inlineStr"/>
    </row>
    <row r="22">
      <c r="A22" s="11" t="inlineStr">
        <is>
          <t>2026-08-22</t>
        </is>
      </c>
      <c r="B22" s="11" t="inlineStr">
        <is>
          <t>PO-884</t>
        </is>
      </c>
      <c r="C22" s="11" t="inlineStr">
        <is>
          <t>Purchase</t>
        </is>
      </c>
      <c r="D22" s="11" t="inlineStr">
        <is>
          <t>Steel Mart</t>
        </is>
      </c>
      <c r="E22" s="11" t="inlineStr">
        <is>
          <t>RM-STEEL-5</t>
        </is>
      </c>
      <c r="F22" s="28" t="n">
        <v>1</v>
      </c>
      <c r="G22" s="28" t="n">
        <v>46000</v>
      </c>
      <c r="H22" s="28" t="n">
        <v>46000</v>
      </c>
      <c r="I22" s="20" t="inlineStr">
        <is>
          <t>IN</t>
        </is>
      </c>
      <c r="J22" s="11" t="inlineStr"/>
    </row>
    <row r="23">
      <c r="A23" s="11" t="inlineStr">
        <is>
          <t>2026-08-25</t>
        </is>
      </c>
      <c r="B23" s="11" t="inlineStr">
        <is>
          <t>INV-2412</t>
        </is>
      </c>
      <c r="C23" s="11" t="inlineStr">
        <is>
          <t>Sale</t>
        </is>
      </c>
      <c r="D23" s="11" t="inlineStr">
        <is>
          <t>VoltFrame Mobility</t>
        </is>
      </c>
      <c r="E23" s="11" t="inlineStr">
        <is>
          <t>EV-ST-01</t>
        </is>
      </c>
      <c r="F23" s="28" t="n">
        <v>100</v>
      </c>
      <c r="G23" s="28" t="n">
        <v>2100</v>
      </c>
      <c r="H23" s="28" t="n">
        <v>210000</v>
      </c>
      <c r="I23" s="29" t="inlineStr">
        <is>
          <t>OUT</t>
        </is>
      </c>
      <c r="J23" s="11" t="inlineStr"/>
    </row>
    <row r="24">
      <c r="A24" s="11" t="inlineStr">
        <is>
          <t>2026-08-26</t>
        </is>
      </c>
      <c r="B24" s="11" t="inlineStr">
        <is>
          <t>MAINT-01</t>
        </is>
      </c>
      <c r="C24" s="11" t="inlineStr">
        <is>
          <t>Expense</t>
        </is>
      </c>
      <c r="D24" s="11" t="inlineStr">
        <is>
          <t>Service vendor</t>
        </is>
      </c>
      <c r="E24" s="11" t="inlineStr">
        <is>
          <t>PRESS-OH</t>
        </is>
      </c>
      <c r="F24" s="28" t="n">
        <v>1</v>
      </c>
      <c r="G24" s="28" t="n">
        <v>47000</v>
      </c>
      <c r="H24" s="28" t="n">
        <v>47000</v>
      </c>
      <c r="I24" s="29" t="inlineStr">
        <is>
          <t>OUT</t>
        </is>
      </c>
      <c r="J24" s="11" t="inlineStr">
        <is>
          <t>Press overhaul</t>
        </is>
      </c>
    </row>
    <row r="25">
      <c r="A25" s="11" t="inlineStr">
        <is>
          <t>2026-08-28</t>
        </is>
      </c>
      <c r="B25" s="11" t="inlineStr">
        <is>
          <t>INV-2413</t>
        </is>
      </c>
      <c r="C25" s="11" t="inlineStr">
        <is>
          <t>Sale</t>
        </is>
      </c>
      <c r="D25" s="11" t="inlineStr">
        <is>
          <t>Gulf Parts Trading</t>
        </is>
      </c>
      <c r="E25" s="11" t="inlineStr">
        <is>
          <t>ASM-09</t>
        </is>
      </c>
      <c r="F25" s="28" t="n">
        <v>40</v>
      </c>
      <c r="G25" s="28" t="n">
        <v>1500</v>
      </c>
      <c r="H25" s="28" t="n">
        <v>60000</v>
      </c>
      <c r="I25" s="29" t="inlineStr">
        <is>
          <t>OUT</t>
        </is>
      </c>
      <c r="J25" s="11" t="inlineStr"/>
    </row>
    <row r="26">
      <c r="A26" s="11" t="inlineStr">
        <is>
          <t>2026-08-29</t>
        </is>
      </c>
      <c r="B26" s="11" t="inlineStr">
        <is>
          <t>PAY-W3</t>
        </is>
      </c>
      <c r="C26" s="11" t="inlineStr">
        <is>
          <t>Payroll</t>
        </is>
      </c>
      <c r="D26" s="11" t="inlineStr">
        <is>
          <t>Staff</t>
        </is>
      </c>
      <c r="E26" s="11" t="inlineStr">
        <is>
          <t>WAGES-W3</t>
        </is>
      </c>
      <c r="F26" s="28" t="n">
        <v>1</v>
      </c>
      <c r="G26" s="28" t="n">
        <v>422000</v>
      </c>
      <c r="H26" s="28" t="n">
        <v>422000</v>
      </c>
      <c r="I26" s="29" t="inlineStr">
        <is>
          <t>OUT</t>
        </is>
      </c>
      <c r="J26" s="11" t="inlineStr"/>
    </row>
    <row r="27">
      <c r="A27" s="11" t="inlineStr">
        <is>
          <t>2026-08-30</t>
        </is>
      </c>
      <c r="B27" s="11" t="inlineStr">
        <is>
          <t>INV-2414</t>
        </is>
      </c>
      <c r="C27" s="11" t="inlineStr">
        <is>
          <t>Sale</t>
        </is>
      </c>
      <c r="D27" s="11" t="inlineStr">
        <is>
          <t>Precision Tools Co</t>
        </is>
      </c>
      <c r="E27" s="11" t="inlineStr">
        <is>
          <t>HSG-07</t>
        </is>
      </c>
      <c r="F27" s="28" t="n">
        <v>280</v>
      </c>
      <c r="G27" s="28" t="n">
        <v>640</v>
      </c>
      <c r="H27" s="28" t="n">
        <v>179200</v>
      </c>
      <c r="I27" s="29" t="inlineStr">
        <is>
          <t>OUT</t>
        </is>
      </c>
      <c r="J27" s="11" t="inlineStr">
        <is>
          <t>Month close push</t>
        </is>
      </c>
    </row>
    <row r="29">
      <c r="A29" t="inlineStr">
        <is>
          <t>Sales total (OUT sale amounts)</t>
        </is>
      </c>
      <c r="H29" s="30">
        <f>SUMIF(C4:C27,"Sale",H4:H27)</f>
        <v/>
      </c>
    </row>
    <row r="30">
      <c r="A30" t="inlineStr">
        <is>
          <t>Purchases + expenses (non-sale OUT approx)</t>
        </is>
      </c>
      <c r="H30" s="31">
        <f>SUMIF(C4:C27,"&lt;&gt;Sale",H4:H27)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4" customWidth="1" min="8" max="8"/>
    <col width="10" customWidth="1" min="9" max="9"/>
    <col width="14" customWidth="1" min="10" max="10"/>
  </cols>
  <sheetData>
    <row r="1">
      <c r="A1" s="1" t="inlineStr">
        <is>
          <t>Machinery &amp; Equipment Register — Cost, Age, Utilization</t>
        </is>
      </c>
    </row>
    <row r="3">
      <c r="A3" s="6" t="inlineStr">
        <is>
          <t>Asset ID</t>
        </is>
      </c>
      <c r="B3" s="6" t="inlineStr">
        <is>
          <t>Machine</t>
        </is>
      </c>
      <c r="C3" s="6" t="inlineStr">
        <is>
          <t>Type</t>
        </is>
      </c>
      <c r="D3" s="6" t="inlineStr">
        <is>
          <t>Purchase Date</t>
        </is>
      </c>
      <c r="E3" s="6" t="inlineStr">
        <is>
          <t>Cost (INR Lakh)</t>
        </is>
      </c>
      <c r="F3" s="6" t="inlineStr">
        <is>
          <t>Dept</t>
        </is>
      </c>
      <c r="G3" s="6" t="inlineStr">
        <is>
          <t>Util %</t>
        </is>
      </c>
      <c r="H3" s="6" t="inlineStr">
        <is>
          <t>Annual Maint (Lakh)</t>
        </is>
      </c>
      <c r="I3" s="6" t="inlineStr">
        <is>
          <t>Status</t>
        </is>
      </c>
      <c r="J3" s="6" t="inlineStr">
        <is>
          <t>Notes</t>
        </is>
      </c>
    </row>
    <row r="4">
      <c r="A4" s="11" t="inlineStr">
        <is>
          <t>M-01</t>
        </is>
      </c>
      <c r="B4" s="11" t="inlineStr">
        <is>
          <t>CNC Mill VF-3</t>
        </is>
      </c>
      <c r="C4" s="11" t="inlineStr">
        <is>
          <t>CNC Milling</t>
        </is>
      </c>
      <c r="D4" s="11" t="inlineStr">
        <is>
          <t>2015-08</t>
        </is>
      </c>
      <c r="E4" s="32" t="n">
        <v>42</v>
      </c>
      <c r="F4" s="11" t="inlineStr">
        <is>
          <t>Machine Shop</t>
        </is>
      </c>
      <c r="G4" s="22" t="n">
        <v>0.78</v>
      </c>
      <c r="H4" s="32" t="n">
        <v>1.8</v>
      </c>
      <c r="I4" s="11" t="inlineStr">
        <is>
          <t>Running</t>
        </is>
      </c>
      <c r="J4" s="11" t="inlineStr">
        <is>
          <t>Core</t>
        </is>
      </c>
    </row>
    <row r="5">
      <c r="A5" s="11" t="inlineStr">
        <is>
          <t>M-02</t>
        </is>
      </c>
      <c r="B5" s="11" t="inlineStr">
        <is>
          <t>CNC Mill VF-2</t>
        </is>
      </c>
      <c r="C5" s="11" t="inlineStr">
        <is>
          <t>CNC Milling</t>
        </is>
      </c>
      <c r="D5" s="11" t="inlineStr">
        <is>
          <t>2016-01</t>
        </is>
      </c>
      <c r="E5" s="32" t="n">
        <v>38</v>
      </c>
      <c r="F5" s="11" t="inlineStr">
        <is>
          <t>Machine Shop</t>
        </is>
      </c>
      <c r="G5" s="22" t="n">
        <v>0.72</v>
      </c>
      <c r="H5" s="32" t="n">
        <v>1.5</v>
      </c>
      <c r="I5" s="11" t="inlineStr">
        <is>
          <t>Running</t>
        </is>
      </c>
      <c r="J5" s="11" t="inlineStr"/>
    </row>
    <row r="6">
      <c r="A6" s="11" t="inlineStr">
        <is>
          <t>M-03</t>
        </is>
      </c>
      <c r="B6" s="11" t="inlineStr">
        <is>
          <t>CNC Lathe LX-200</t>
        </is>
      </c>
      <c r="C6" s="11" t="inlineStr">
        <is>
          <t>Turning</t>
        </is>
      </c>
      <c r="D6" s="11" t="inlineStr">
        <is>
          <t>2017-03</t>
        </is>
      </c>
      <c r="E6" s="32" t="n">
        <v>28</v>
      </c>
      <c r="F6" s="11" t="inlineStr">
        <is>
          <t>Machine Shop</t>
        </is>
      </c>
      <c r="G6" s="22" t="n">
        <v>0.8100000000000001</v>
      </c>
      <c r="H6" s="32" t="n">
        <v>1.2</v>
      </c>
      <c r="I6" s="11" t="inlineStr">
        <is>
          <t>Running</t>
        </is>
      </c>
      <c r="J6" s="11" t="inlineStr"/>
    </row>
    <row r="7">
      <c r="A7" s="11" t="inlineStr">
        <is>
          <t>M-04</t>
        </is>
      </c>
      <c r="B7" s="11" t="inlineStr">
        <is>
          <t>CNC Lathe LX-250</t>
        </is>
      </c>
      <c r="C7" s="11" t="inlineStr">
        <is>
          <t>Turning</t>
        </is>
      </c>
      <c r="D7" s="11" t="inlineStr">
        <is>
          <t>2018-06</t>
        </is>
      </c>
      <c r="E7" s="32" t="n">
        <v>35</v>
      </c>
      <c r="F7" s="11" t="inlineStr">
        <is>
          <t>Machine Shop</t>
        </is>
      </c>
      <c r="G7" s="22" t="n">
        <v>0.6899999999999999</v>
      </c>
      <c r="H7" s="32" t="n">
        <v>1.4</v>
      </c>
      <c r="I7" s="11" t="inlineStr">
        <is>
          <t>Running</t>
        </is>
      </c>
      <c r="J7" s="11" t="inlineStr">
        <is>
          <t>Needs tooling</t>
        </is>
      </c>
    </row>
    <row r="8">
      <c r="A8" s="11" t="inlineStr">
        <is>
          <t>M-05</t>
        </is>
      </c>
      <c r="B8" s="11" t="inlineStr">
        <is>
          <t>Laser Cut 3kW</t>
        </is>
      </c>
      <c r="C8" s="11" t="inlineStr">
        <is>
          <t>Sheet Metal</t>
        </is>
      </c>
      <c r="D8" s="11" t="inlineStr">
        <is>
          <t>2018-02</t>
        </is>
      </c>
      <c r="E8" s="32" t="n">
        <v>55</v>
      </c>
      <c r="F8" s="11" t="inlineStr">
        <is>
          <t>Sheet</t>
        </is>
      </c>
      <c r="G8" s="22" t="n">
        <v>0.64</v>
      </c>
      <c r="H8" s="32" t="n">
        <v>2</v>
      </c>
      <c r="I8" s="11" t="inlineStr">
        <is>
          <t>Running</t>
        </is>
      </c>
      <c r="J8" s="11" t="inlineStr"/>
    </row>
    <row r="9">
      <c r="A9" s="11" t="inlineStr">
        <is>
          <t>M-06</t>
        </is>
      </c>
      <c r="B9" s="11" t="inlineStr">
        <is>
          <t>Press Brake 100T</t>
        </is>
      </c>
      <c r="C9" s="11" t="inlineStr">
        <is>
          <t>Sheet Metal</t>
        </is>
      </c>
      <c r="D9" s="11" t="inlineStr">
        <is>
          <t>2018-02</t>
        </is>
      </c>
      <c r="E9" s="32" t="n">
        <v>22</v>
      </c>
      <c r="F9" s="11" t="inlineStr">
        <is>
          <t>Sheet</t>
        </is>
      </c>
      <c r="G9" s="22" t="n">
        <v>0.58</v>
      </c>
      <c r="H9" s="32" t="n">
        <v>0.9</v>
      </c>
      <c r="I9" s="11" t="inlineStr">
        <is>
          <t>Running</t>
        </is>
      </c>
      <c r="J9" s="11" t="inlineStr"/>
    </row>
    <row r="10">
      <c r="A10" s="11" t="inlineStr">
        <is>
          <t>M-07</t>
        </is>
      </c>
      <c r="B10" s="11" t="inlineStr">
        <is>
          <t>CNC Turning T-300</t>
        </is>
      </c>
      <c r="C10" s="11" t="inlineStr">
        <is>
          <t>Turning</t>
        </is>
      </c>
      <c r="D10" s="11" t="inlineStr">
        <is>
          <t>2023-10</t>
        </is>
      </c>
      <c r="E10" s="32" t="n">
        <v>48</v>
      </c>
      <c r="F10" s="11" t="inlineStr">
        <is>
          <t>Machine Shop</t>
        </is>
      </c>
      <c r="G10" s="22" t="n">
        <v>0.85</v>
      </c>
      <c r="H10" s="32" t="n">
        <v>1</v>
      </c>
      <c r="I10" s="11" t="inlineStr">
        <is>
          <t>Running</t>
        </is>
      </c>
      <c r="J10" s="11" t="inlineStr">
        <is>
          <t>New</t>
        </is>
      </c>
    </row>
    <row r="11">
      <c r="A11" s="11" t="inlineStr">
        <is>
          <t>M-08</t>
        </is>
      </c>
      <c r="B11" s="11" t="inlineStr">
        <is>
          <t>CNC Turning T-300B</t>
        </is>
      </c>
      <c r="C11" s="11" t="inlineStr">
        <is>
          <t>Turning</t>
        </is>
      </c>
      <c r="D11" s="11" t="inlineStr">
        <is>
          <t>2023-10</t>
        </is>
      </c>
      <c r="E11" s="32" t="n">
        <v>48</v>
      </c>
      <c r="F11" s="11" t="inlineStr">
        <is>
          <t>Machine Shop</t>
        </is>
      </c>
      <c r="G11" s="22" t="n">
        <v>0.8</v>
      </c>
      <c r="H11" s="32" t="n">
        <v>1</v>
      </c>
      <c r="I11" s="11" t="inlineStr">
        <is>
          <t>Running</t>
        </is>
      </c>
      <c r="J11" s="11" t="inlineStr">
        <is>
          <t>New</t>
        </is>
      </c>
    </row>
    <row r="12">
      <c r="A12" s="11" t="inlineStr">
        <is>
          <t>M-09</t>
        </is>
      </c>
      <c r="B12" s="11" t="inlineStr">
        <is>
          <t>CMM Inspection</t>
        </is>
      </c>
      <c r="C12" s="11" t="inlineStr">
        <is>
          <t>QC</t>
        </is>
      </c>
      <c r="D12" s="11" t="inlineStr">
        <is>
          <t>2019-05</t>
        </is>
      </c>
      <c r="E12" s="32" t="n">
        <v>18</v>
      </c>
      <c r="F12" s="11" t="inlineStr">
        <is>
          <t>Quality</t>
        </is>
      </c>
      <c r="G12" s="22" t="n">
        <v>0.45</v>
      </c>
      <c r="H12" s="32" t="n">
        <v>0.6</v>
      </c>
      <c r="I12" s="11" t="inlineStr">
        <is>
          <t>Running</t>
        </is>
      </c>
      <c r="J12" s="11" t="inlineStr">
        <is>
          <t>Bottleneck risk</t>
        </is>
      </c>
    </row>
    <row r="13">
      <c r="A13" s="11" t="inlineStr">
        <is>
          <t>M-10</t>
        </is>
      </c>
      <c r="B13" s="11" t="inlineStr">
        <is>
          <t>Compressor 75HP</t>
        </is>
      </c>
      <c r="C13" s="11" t="inlineStr">
        <is>
          <t>Utility</t>
        </is>
      </c>
      <c r="D13" s="11" t="inlineStr">
        <is>
          <t>2015-08</t>
        </is>
      </c>
      <c r="E13" s="32" t="n">
        <v>8</v>
      </c>
      <c r="F13" s="11" t="inlineStr">
        <is>
          <t>Utility</t>
        </is>
      </c>
      <c r="G13" s="22" t="n">
        <v>0.9</v>
      </c>
      <c r="H13" s="32" t="n">
        <v>0.5</v>
      </c>
      <c r="I13" s="11" t="inlineStr">
        <is>
          <t>Running</t>
        </is>
      </c>
      <c r="J13" s="11" t="inlineStr">
        <is>
          <t>Critical utility</t>
        </is>
      </c>
    </row>
    <row r="14">
      <c r="A14" s="11" t="inlineStr">
        <is>
          <t>M-11</t>
        </is>
      </c>
      <c r="B14" s="11" t="inlineStr">
        <is>
          <t>Old Manual Lathe</t>
        </is>
      </c>
      <c r="C14" s="11" t="inlineStr">
        <is>
          <t>Turning</t>
        </is>
      </c>
      <c r="D14" s="11" t="inlineStr">
        <is>
          <t>2014-06</t>
        </is>
      </c>
      <c r="E14" s="32" t="n">
        <v>3</v>
      </c>
      <c r="F14" s="11" t="inlineStr">
        <is>
          <t>Tool Room</t>
        </is>
      </c>
      <c r="G14" s="22" t="n">
        <v>0.2</v>
      </c>
      <c r="H14" s="32" t="n">
        <v>0.2</v>
      </c>
      <c r="I14" s="11" t="inlineStr">
        <is>
          <t>Standby</t>
        </is>
      </c>
      <c r="J14" s="11" t="inlineStr">
        <is>
          <t>Replace later</t>
        </is>
      </c>
    </row>
    <row r="15">
      <c r="A15" s="11" t="inlineStr">
        <is>
          <t>M-12</t>
        </is>
      </c>
      <c r="B15" s="11" t="inlineStr">
        <is>
          <t>Welding Cell</t>
        </is>
      </c>
      <c r="C15" s="11" t="inlineStr">
        <is>
          <t>Fabrication</t>
        </is>
      </c>
      <c r="D15" s="11" t="inlineStr">
        <is>
          <t>2020-11</t>
        </is>
      </c>
      <c r="E15" s="32" t="n">
        <v>12</v>
      </c>
      <c r="F15" s="11" t="inlineStr">
        <is>
          <t>Fab</t>
        </is>
      </c>
      <c r="G15" s="22" t="n">
        <v>0.55</v>
      </c>
      <c r="H15" s="32" t="n">
        <v>0.7</v>
      </c>
      <c r="I15" s="11" t="inlineStr">
        <is>
          <t>Running</t>
        </is>
      </c>
      <c r="J15" s="11" t="inlineStr"/>
    </row>
    <row r="17">
      <c r="A17" t="inlineStr">
        <is>
          <t>Total machine cost (Lakh)</t>
        </is>
      </c>
      <c r="B17" s="33">
        <f>SUM(E4:E15)</f>
        <v/>
      </c>
    </row>
    <row r="18">
      <c r="A18" t="inlineStr">
        <is>
          <t>Avg utilization</t>
        </is>
      </c>
      <c r="B18" s="34">
        <f>AVERAGE(G4:G15)</f>
        <v/>
      </c>
    </row>
    <row r="19">
      <c r="A19" t="inlineStr">
        <is>
          <t>Annual maint total (Lakh)</t>
        </is>
      </c>
      <c r="B19" s="35">
        <f>SUM(H4:H15)</f>
        <v/>
      </c>
    </row>
    <row r="21">
      <c r="A21" t="inlineStr">
        <is>
          <t>JARVIS hint: machines below 60% util or Standby are candidates for job-lot fill or disposal review.</t>
        </is>
      </c>
    </row>
  </sheetData>
  <mergeCells count="1">
    <mergeCell ref="A21:J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Staff Headcount &amp; Cost Structure (sample)</t>
        </is>
      </c>
    </row>
    <row r="3">
      <c r="A3" s="6" t="inlineStr">
        <is>
          <t>Department</t>
        </is>
      </c>
      <c r="B3" s="6" t="inlineStr">
        <is>
          <t>Headcount</t>
        </is>
      </c>
      <c r="C3" s="6" t="inlineStr">
        <is>
          <t>Avg Monthly CTC (INR)</t>
        </is>
      </c>
      <c r="D3" s="6" t="inlineStr">
        <is>
          <t>Monthly Cost</t>
        </is>
      </c>
      <c r="E3" s="6" t="inlineStr">
        <is>
          <t>Annual Cost</t>
        </is>
      </c>
      <c r="F3" s="6" t="inlineStr">
        <is>
          <t>% of Wage Bill</t>
        </is>
      </c>
    </row>
    <row r="4">
      <c r="A4" s="11" t="inlineStr">
        <is>
          <t>Production operators</t>
        </is>
      </c>
      <c r="B4" s="21" t="n">
        <v>95</v>
      </c>
      <c r="C4" s="28" t="n">
        <v>22000</v>
      </c>
      <c r="D4" s="36">
        <f>B4*C4</f>
        <v/>
      </c>
      <c r="E4" s="36">
        <f>D4*12</f>
        <v/>
      </c>
      <c r="F4" s="37">
        <f>IF($E$14=0,0,E4/$E$14)</f>
        <v/>
      </c>
    </row>
    <row r="5">
      <c r="A5" s="11" t="inlineStr">
        <is>
          <t>CNC programmers / setters</t>
        </is>
      </c>
      <c r="B5" s="21" t="n">
        <v>18</v>
      </c>
      <c r="C5" s="28" t="n">
        <v>38000</v>
      </c>
      <c r="D5" s="36">
        <f>B5*C5</f>
        <v/>
      </c>
      <c r="E5" s="36">
        <f>D5*12</f>
        <v/>
      </c>
      <c r="F5" s="37">
        <f>IF($E$14=0,0,E5/$E$14)</f>
        <v/>
      </c>
    </row>
    <row r="6">
      <c r="A6" s="11" t="inlineStr">
        <is>
          <t>Quality / inspection</t>
        </is>
      </c>
      <c r="B6" s="21" t="n">
        <v>14</v>
      </c>
      <c r="C6" s="28" t="n">
        <v>32000</v>
      </c>
      <c r="D6" s="36">
        <f>B6*C6</f>
        <v/>
      </c>
      <c r="E6" s="36">
        <f>D6*12</f>
        <v/>
      </c>
      <c r="F6" s="37">
        <f>IF($E$14=0,0,E6/$E$14)</f>
        <v/>
      </c>
    </row>
    <row r="7">
      <c r="A7" s="11" t="inlineStr">
        <is>
          <t>Maintenance</t>
        </is>
      </c>
      <c r="B7" s="21" t="n">
        <v>10</v>
      </c>
      <c r="C7" s="28" t="n">
        <v>30000</v>
      </c>
      <c r="D7" s="36">
        <f>B7*C7</f>
        <v/>
      </c>
      <c r="E7" s="36">
        <f>D7*12</f>
        <v/>
      </c>
      <c r="F7" s="37">
        <f>IF($E$14=0,0,E7/$E$14)</f>
        <v/>
      </c>
    </row>
    <row r="8">
      <c r="A8" s="11" t="inlineStr">
        <is>
          <t>Stores &amp; logistics</t>
        </is>
      </c>
      <c r="B8" s="21" t="n">
        <v>12</v>
      </c>
      <c r="C8" s="28" t="n">
        <v>24000</v>
      </c>
      <c r="D8" s="36">
        <f>B8*C8</f>
        <v/>
      </c>
      <c r="E8" s="36">
        <f>D8*12</f>
        <v/>
      </c>
      <c r="F8" s="37">
        <f>IF($E$14=0,0,E8/$E$14)</f>
        <v/>
      </c>
    </row>
    <row r="9">
      <c r="A9" s="11" t="inlineStr">
        <is>
          <t>Sales &amp; customer support</t>
        </is>
      </c>
      <c r="B9" s="21" t="n">
        <v>8</v>
      </c>
      <c r="C9" s="28" t="n">
        <v>45000</v>
      </c>
      <c r="D9" s="36">
        <f>B9*C9</f>
        <v/>
      </c>
      <c r="E9" s="36">
        <f>D9*12</f>
        <v/>
      </c>
      <c r="F9" s="37">
        <f>IF($E$14=0,0,E9/$E$14)</f>
        <v/>
      </c>
    </row>
    <row r="10">
      <c r="A10" s="11" t="inlineStr">
        <is>
          <t>Admin / HR / accounts</t>
        </is>
      </c>
      <c r="B10" s="21" t="n">
        <v>11</v>
      </c>
      <c r="C10" s="28" t="n">
        <v>40000</v>
      </c>
      <c r="D10" s="36">
        <f>B10*C10</f>
        <v/>
      </c>
      <c r="E10" s="36">
        <f>D10*12</f>
        <v/>
      </c>
      <c r="F10" s="37">
        <f>IF($E$14=0,0,E10/$E$14)</f>
        <v/>
      </c>
    </row>
    <row r="11">
      <c r="A11" s="11" t="inlineStr">
        <is>
          <t>Engineering / NPD</t>
        </is>
      </c>
      <c r="B11" s="21" t="n">
        <v>9</v>
      </c>
      <c r="C11" s="28" t="n">
        <v>55000</v>
      </c>
      <c r="D11" s="36">
        <f>B11*C11</f>
        <v/>
      </c>
      <c r="E11" s="36">
        <f>D11*12</f>
        <v/>
      </c>
      <c r="F11" s="37">
        <f>IF($E$14=0,0,E11/$E$14)</f>
        <v/>
      </c>
    </row>
    <row r="12">
      <c r="A12" s="11" t="inlineStr">
        <is>
          <t>Management</t>
        </is>
      </c>
      <c r="B12" s="21" t="n">
        <v>5</v>
      </c>
      <c r="C12" s="28" t="n">
        <v>120000</v>
      </c>
      <c r="D12" s="36">
        <f>B12*C12</f>
        <v/>
      </c>
      <c r="E12" s="36">
        <f>D12*12</f>
        <v/>
      </c>
      <c r="F12" s="37">
        <f>IF($E$14=0,0,E12/$E$14)</f>
        <v/>
      </c>
    </row>
    <row r="13">
      <c r="A13" s="11" t="inlineStr">
        <is>
          <t>Security &amp; housekeeping</t>
        </is>
      </c>
      <c r="B13" s="21" t="n">
        <v>4</v>
      </c>
      <c r="C13" s="28" t="n">
        <v>18000</v>
      </c>
      <c r="D13" s="36">
        <f>B13*C13</f>
        <v/>
      </c>
      <c r="E13" s="36">
        <f>D13*12</f>
        <v/>
      </c>
      <c r="F13" s="37">
        <f>IF($E$14=0,0,E13/$E$14)</f>
        <v/>
      </c>
    </row>
    <row r="14">
      <c r="A14" s="13" t="inlineStr">
        <is>
          <t>TOTAL</t>
        </is>
      </c>
      <c r="B14" s="13">
        <f>SUM(B4:B13)</f>
        <v/>
      </c>
      <c r="D14" s="30">
        <f>SUM(D4:D13)</f>
        <v/>
      </c>
      <c r="E14" s="30">
        <f>SUM(E4:E13)</f>
        <v/>
      </c>
    </row>
    <row r="16">
      <c r="A16" t="inlineStr">
        <is>
          <t>Notes for JARVIS</t>
        </is>
      </c>
    </row>
    <row r="17">
      <c r="A17" s="38" t="inlineStr">
        <is>
          <t>Wage bill is the largest controllable cost after COGS. Overtime in Production and under-utilized Engineering capacity are levers. Hiring freeze in non-revenue roles unless linked to EV ramp.</t>
        </is>
      </c>
    </row>
    <row r="18"/>
  </sheetData>
  <mergeCells count="1">
    <mergeCell ref="A17:F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Lease &amp; Rental Obligations</t>
        </is>
      </c>
    </row>
    <row r="3">
      <c r="A3" s="6" t="inlineStr">
        <is>
          <t>Lease ID</t>
        </is>
      </c>
      <c r="B3" s="6" t="inlineStr">
        <is>
          <t>Asset / Property</t>
        </is>
      </c>
      <c r="C3" s="6" t="inlineStr">
        <is>
          <t>Lessor</t>
        </is>
      </c>
      <c r="D3" s="6" t="inlineStr">
        <is>
          <t>Start</t>
        </is>
      </c>
      <c r="E3" s="6" t="inlineStr">
        <is>
          <t>End</t>
        </is>
      </c>
      <c r="F3" s="6" t="inlineStr">
        <is>
          <t>Monthly Rent (INR)</t>
        </is>
      </c>
      <c r="G3" s="6" t="inlineStr">
        <is>
          <t>Annual (INR)</t>
        </is>
      </c>
      <c r="H3" s="6" t="inlineStr">
        <is>
          <t>Deposit</t>
        </is>
      </c>
      <c r="I3" s="6" t="inlineStr">
        <is>
          <t>Notice (days)</t>
        </is>
      </c>
      <c r="J3" s="6" t="inlineStr">
        <is>
          <t>Action</t>
        </is>
      </c>
    </row>
    <row r="4">
      <c r="A4" s="11" t="inlineStr">
        <is>
          <t>L-WH-01</t>
        </is>
      </c>
      <c r="B4" s="11" t="inlineStr">
        <is>
          <t>Warehouse 12,000 sq ft Chakan</t>
        </is>
      </c>
      <c r="C4" s="11" t="inlineStr">
        <is>
          <t>Chakan Infra LLP</t>
        </is>
      </c>
      <c r="D4" s="11" t="inlineStr">
        <is>
          <t>2023-07-01</t>
        </is>
      </c>
      <c r="E4" s="11" t="inlineStr">
        <is>
          <t>2028-06-30</t>
        </is>
      </c>
      <c r="F4" s="28" t="n">
        <v>45000</v>
      </c>
      <c r="G4" s="28" t="n">
        <v>540000</v>
      </c>
      <c r="H4" s="28" t="n">
        <v>90000</v>
      </c>
      <c r="I4" s="11" t="n">
        <v>60</v>
      </c>
      <c r="J4" s="11" t="inlineStr">
        <is>
          <t>Review rate at Y3</t>
        </is>
      </c>
    </row>
    <row r="5">
      <c r="A5" s="11" t="inlineStr">
        <is>
          <t>L-EQ-02</t>
        </is>
      </c>
      <c r="B5" s="11" t="inlineStr">
        <is>
          <t>Forklift operating lease (2 units)</t>
        </is>
      </c>
      <c r="C5" s="11" t="inlineStr">
        <is>
          <t>LeaseEquip India</t>
        </is>
      </c>
      <c r="D5" s="11" t="inlineStr">
        <is>
          <t>2024-01-01</t>
        </is>
      </c>
      <c r="E5" s="11" t="inlineStr">
        <is>
          <t>2027-12-31</t>
        </is>
      </c>
      <c r="F5" s="28" t="n">
        <v>28000</v>
      </c>
      <c r="G5" s="28" t="n">
        <v>336000</v>
      </c>
      <c r="H5" s="28" t="n">
        <v>56000</v>
      </c>
      <c r="I5" s="11" t="n">
        <v>30</v>
      </c>
      <c r="J5" s="11" t="inlineStr">
        <is>
          <t>Compare buy vs lease</t>
        </is>
      </c>
    </row>
    <row r="6">
      <c r="A6" s="11" t="inlineStr">
        <is>
          <t>L-VEH-03</t>
        </is>
      </c>
      <c r="B6" s="11" t="inlineStr">
        <is>
          <t>Delivery tempo (1)</t>
        </is>
      </c>
      <c r="C6" s="11" t="inlineStr">
        <is>
          <t>AutoLease Co</t>
        </is>
      </c>
      <c r="D6" s="11" t="inlineStr">
        <is>
          <t>2025-04-01</t>
        </is>
      </c>
      <c r="E6" s="11" t="inlineStr">
        <is>
          <t>2028-03-31</t>
        </is>
      </c>
      <c r="F6" s="28" t="n">
        <v>22000</v>
      </c>
      <c r="G6" s="28" t="n">
        <v>264000</v>
      </c>
      <c r="H6" s="28" t="n">
        <v>44000</v>
      </c>
      <c r="I6" s="11" t="n">
        <v>30</v>
      </c>
      <c r="J6" s="11" t="inlineStr">
        <is>
          <t>OK</t>
        </is>
      </c>
    </row>
    <row r="7">
      <c r="A7" s="11" t="inlineStr">
        <is>
          <t>L-SOFT-04</t>
        </is>
      </c>
      <c r="B7" s="11" t="inlineStr">
        <is>
          <t>CAD seats (annual)</t>
        </is>
      </c>
      <c r="C7" s="11" t="inlineStr">
        <is>
          <t>SoftVendor</t>
        </is>
      </c>
      <c r="D7" s="11" t="inlineStr">
        <is>
          <t>2026-04-01</t>
        </is>
      </c>
      <c r="E7" s="11" t="inlineStr">
        <is>
          <t>2027-03-31</t>
        </is>
      </c>
      <c r="F7" s="28" t="n">
        <v>0</v>
      </c>
      <c r="G7" s="28" t="n">
        <v>180000</v>
      </c>
      <c r="H7" s="28" t="n">
        <v>180000</v>
      </c>
      <c r="I7" s="11" t="n">
        <v>30</v>
      </c>
      <c r="J7" s="11" t="inlineStr">
        <is>
          <t>Annual prepaid</t>
        </is>
      </c>
    </row>
    <row r="9">
      <c r="A9" t="inlineStr">
        <is>
          <t>Total annual lease cash outflow (approx)</t>
        </is>
      </c>
      <c r="B9" s="30">
        <f>SUM(G4:G7)</f>
        <v/>
      </c>
    </row>
    <row r="11">
      <c r="A11" t="inlineStr">
        <is>
          <t>JARVIS decision flag: Warehouse lease is long; negotiate escalation cap. Forklift lease — run buy-vs-lease after utilization study.</t>
        </is>
      </c>
    </row>
    <row r="12"/>
  </sheetData>
  <mergeCells count="1">
    <mergeCell ref="A11:J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4" customWidth="1" min="3" max="3"/>
    <col width="16" customWidth="1" min="4" max="4"/>
    <col width="10" customWidth="1" min="5" max="5"/>
    <col width="12" customWidth="1" min="6" max="6"/>
  </cols>
  <sheetData>
    <row r="1">
      <c r="A1" s="1" t="inlineStr">
        <is>
          <t>JARVIS Decision Dashboard — Next Steps for Profit</t>
        </is>
      </c>
    </row>
    <row r="3">
      <c r="A3" s="4" t="inlineStr">
        <is>
          <t>Key observations (from sample data)</t>
        </is>
      </c>
    </row>
    <row r="4">
      <c r="A4" t="inlineStr">
        <is>
          <t>1. FY21 was the only loss year; recovery is real but cost inflation (power, wages) is compressing margins.</t>
        </is>
      </c>
    </row>
    <row r="5">
      <c r="A5" t="inlineStr">
        <is>
          <t>2. Customer concentration: Precision Tools Co + VoltFrame + NordicDrive drive most revenue — diversification needed.</t>
        </is>
      </c>
    </row>
    <row r="6">
      <c r="A6" t="inlineStr">
        <is>
          <t>3. Lost Metro Auto bid on price — avoid race-to-bottom; protect margin on BIG deals.</t>
        </is>
      </c>
    </row>
    <row r="7">
      <c r="A7" t="inlineStr">
        <is>
          <t>4. Machine utilization uneven: Press Brake / CMM / Manual lathe underused — fill with job-lots or redesign flow.</t>
        </is>
      </c>
    </row>
    <row r="8">
      <c r="A8" t="inlineStr">
        <is>
          <t>5. Warehouse lease and wage bill are sticky costs; power cost rising faster than prices on some lines.</t>
        </is>
      </c>
    </row>
    <row r="9">
      <c r="A9" t="inlineStr">
        <is>
          <t>6. Services (fixture design) show high margin — scale carefully without starving production.</t>
        </is>
      </c>
    </row>
    <row r="10">
      <c r="A10" t="inlineStr">
        <is>
          <t>7. EV structural parts backlog is large — ensure capacity, quality, and working capital for ramp.</t>
        </is>
      </c>
    </row>
    <row r="12">
      <c r="A12" s="4" t="inlineStr">
        <is>
          <t>Recommended next actions (priority)</t>
        </is>
      </c>
    </row>
    <row r="13">
      <c r="A13" s="6" t="inlineStr">
        <is>
          <t>Priority</t>
        </is>
      </c>
      <c r="B13" s="6" t="inlineStr">
        <is>
          <t>Action</t>
        </is>
      </c>
      <c r="C13" s="6" t="inlineStr">
        <is>
          <t>Owner</t>
        </is>
      </c>
      <c r="D13" s="6" t="inlineStr">
        <is>
          <t>Est. Profit Impact</t>
        </is>
      </c>
      <c r="E13" s="6" t="inlineStr">
        <is>
          <t>Effort</t>
        </is>
      </c>
      <c r="F13" s="6" t="inlineStr">
        <is>
          <t>Deadline</t>
        </is>
      </c>
    </row>
    <row r="14">
      <c r="A14" s="24" t="inlineStr">
        <is>
          <t>P1</t>
        </is>
      </c>
      <c r="B14" s="11" t="inlineStr">
        <is>
          <t>Negotiate power tariff / load shift to off-peak</t>
        </is>
      </c>
      <c r="C14" s="11" t="inlineStr">
        <is>
          <t>Ops + Accts</t>
        </is>
      </c>
      <c r="D14" s="11" t="inlineStr">
        <is>
          <t>Medium</t>
        </is>
      </c>
      <c r="E14" s="11" t="inlineStr">
        <is>
          <t>Medium</t>
        </is>
      </c>
      <c r="F14" s="11" t="inlineStr">
        <is>
          <t>2026-10-31</t>
        </is>
      </c>
    </row>
    <row r="15">
      <c r="A15" s="24" t="inlineStr">
        <is>
          <t>P1</t>
        </is>
      </c>
      <c r="B15" s="11" t="inlineStr">
        <is>
          <t>Fill low-util machines with high-margin job lots</t>
        </is>
      </c>
      <c r="C15" s="11" t="inlineStr">
        <is>
          <t>Production</t>
        </is>
      </c>
      <c r="D15" s="11" t="inlineStr">
        <is>
          <t>Medium</t>
        </is>
      </c>
      <c r="E15" s="11" t="inlineStr">
        <is>
          <t>Low</t>
        </is>
      </c>
      <c r="F15" s="11" t="inlineStr">
        <is>
          <t>2026-10-15</t>
        </is>
      </c>
    </row>
    <row r="16">
      <c r="A16" s="24" t="inlineStr">
        <is>
          <t>P1</t>
        </is>
      </c>
      <c r="B16" s="11" t="inlineStr">
        <is>
          <t>Account plan for VoltFrame ramp (quality + WC)</t>
        </is>
      </c>
      <c r="C16" s="11" t="inlineStr">
        <is>
          <t>Sales + Ops</t>
        </is>
      </c>
      <c r="D16" s="11" t="inlineStr">
        <is>
          <t>High</t>
        </is>
      </c>
      <c r="E16" s="11" t="inlineStr">
        <is>
          <t>High</t>
        </is>
      </c>
      <c r="F16" s="11" t="inlineStr">
        <is>
          <t>2026-11-30</t>
        </is>
      </c>
    </row>
    <row r="17">
      <c r="A17" s="39" t="inlineStr">
        <is>
          <t>P2</t>
        </is>
      </c>
      <c r="B17" s="11" t="inlineStr">
        <is>
          <t>Win 2 new mid-size OEMs (non-price levers)</t>
        </is>
      </c>
      <c r="C17" s="11" t="inlineStr">
        <is>
          <t>Sales</t>
        </is>
      </c>
      <c r="D17" s="11" t="inlineStr">
        <is>
          <t>High</t>
        </is>
      </c>
      <c r="E17" s="11" t="inlineStr">
        <is>
          <t>High</t>
        </is>
      </c>
      <c r="F17" s="11" t="inlineStr">
        <is>
          <t>2027-03-31</t>
        </is>
      </c>
    </row>
    <row r="18">
      <c r="A18" s="39" t="inlineStr">
        <is>
          <t>P2</t>
        </is>
      </c>
      <c r="B18" s="11" t="inlineStr">
        <is>
          <t>Buy-vs-lease study on forklifts</t>
        </is>
      </c>
      <c r="C18" s="11" t="inlineStr">
        <is>
          <t>Finance</t>
        </is>
      </c>
      <c r="D18" s="11" t="inlineStr">
        <is>
          <t>Low</t>
        </is>
      </c>
      <c r="E18" s="11" t="inlineStr">
        <is>
          <t>Low</t>
        </is>
      </c>
      <c r="F18" s="11" t="inlineStr">
        <is>
          <t>2026-12-15</t>
        </is>
      </c>
    </row>
    <row r="19">
      <c r="A19" s="39" t="inlineStr">
        <is>
          <t>P2</t>
        </is>
      </c>
      <c r="B19" s="11" t="inlineStr">
        <is>
          <t>Expand fixture-design services (priced value)</t>
        </is>
      </c>
      <c r="C19" s="11" t="inlineStr">
        <is>
          <t>Engineering</t>
        </is>
      </c>
      <c r="D19" s="11" t="inlineStr">
        <is>
          <t>Medium</t>
        </is>
      </c>
      <c r="E19" s="11" t="inlineStr">
        <is>
          <t>Medium</t>
        </is>
      </c>
      <c r="F19" s="11" t="inlineStr">
        <is>
          <t>2027-01-31</t>
        </is>
      </c>
    </row>
    <row r="20">
      <c r="A20" s="20" t="inlineStr">
        <is>
          <t>P3</t>
        </is>
      </c>
      <c r="B20" s="11" t="inlineStr">
        <is>
          <t>Review standby manual lathe — sell or tool-room only</t>
        </is>
      </c>
      <c r="C20" s="11" t="inlineStr">
        <is>
          <t>Plant head</t>
        </is>
      </c>
      <c r="D20" s="11" t="inlineStr">
        <is>
          <t>Low</t>
        </is>
      </c>
      <c r="E20" s="11" t="inlineStr">
        <is>
          <t>Low</t>
        </is>
      </c>
      <c r="F20" s="11" t="inlineStr">
        <is>
          <t>2026-11-30</t>
        </is>
      </c>
    </row>
    <row r="21">
      <c r="A21" s="20" t="inlineStr">
        <is>
          <t>P3</t>
        </is>
      </c>
      <c r="B21" s="11" t="inlineStr">
        <is>
          <t>Warehouse lease escalation discussion</t>
        </is>
      </c>
      <c r="C21" s="11" t="inlineStr">
        <is>
          <t>Admin</t>
        </is>
      </c>
      <c r="D21" s="11" t="inlineStr">
        <is>
          <t>Low</t>
        </is>
      </c>
      <c r="E21" s="11" t="inlineStr">
        <is>
          <t>Medium</t>
        </is>
      </c>
      <c r="F21" s="11" t="inlineStr">
        <is>
          <t>2027-01-15</t>
        </is>
      </c>
    </row>
    <row r="24">
      <c r="A24" s="4" t="inlineStr">
        <is>
          <t>How JARVIS should use this pack</t>
        </is>
      </c>
    </row>
    <row r="25">
      <c r="A25" s="5" t="inlineStr">
        <is>
          <t>When user asks 'what should we do to improve profit?', retrieve: latest PAT trend (03_Annual_PL), active BIG deals (04_Deals_Register), under-utilized machines (06_Machinery_Assets), wage and lease drag (07_Staff_Cost, 08_Leases), and propose actions from 09_Decision_Dashboard. Always separate: retrieved fact vs recommendation vs uncertainty. Do not invent customer names or numbers not in these sheets.</t>
        </is>
      </c>
    </row>
    <row r="26"/>
    <row r="27"/>
  </sheetData>
  <mergeCells count="8">
    <mergeCell ref="A10:F10"/>
    <mergeCell ref="A5:F5"/>
    <mergeCell ref="A9:F9"/>
    <mergeCell ref="A8:F8"/>
    <mergeCell ref="A6:F6"/>
    <mergeCell ref="A25:F27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2026-09-09T12:15:49Z</dcterms:created>
  <dcterms:modified xmlns:dcterms="http://purl.org/dc/terms/" xmlns:xsi="http://www.w3.org/2001/XMLSchema-instance" xsi:type="dcterms:W3CDTF">2026-09-09T12:15:49Z</dcterms:modified>
</cp:coreProperties>
</file>